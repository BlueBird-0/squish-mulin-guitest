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QA\4. 테스트 결과\"/>
    </mc:Choice>
  </mc:AlternateContent>
  <xr:revisionPtr revIDLastSave="0" documentId="13_ncr:1_{EA401BF5-C603-44B4-BE3D-59E94ABFD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지" sheetId="25" r:id="rId1"/>
    <sheet name="TOP-VIEW" sheetId="29" r:id="rId2"/>
    <sheet name="PLC" sheetId="28" r:id="rId3"/>
    <sheet name="경보" sheetId="17" r:id="rId4"/>
    <sheet name="로그" sheetId="4" r:id="rId5"/>
    <sheet name="레시피" sheetId="5" r:id="rId6"/>
    <sheet name="문자열, 다국어" sheetId="6" r:id="rId7"/>
    <sheet name="보안" sheetId="11" r:id="rId8"/>
    <sheet name="전송" sheetId="1" r:id="rId9"/>
    <sheet name="VNC, FTP, 기타" sheetId="7" r:id="rId10"/>
    <sheet name="테스트 결과" sheetId="22" r:id="rId11"/>
    <sheet name="작성 가이드" sheetId="27" r:id="rId12"/>
  </sheets>
  <definedNames>
    <definedName name="_xlnm.Print_Area" localSheetId="11">'작성 가이드'!$A$1:$E$39</definedName>
    <definedName name="_xlnm.Print_Area" localSheetId="10">'테스트 결과'!$A$1:$L$15</definedName>
    <definedName name="_xlnm.Print_Area" localSheetId="0">표지!$A$1:$L$36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7" l="1"/>
  <c r="C3" i="5" l="1"/>
  <c r="C5" i="7" l="1"/>
  <c r="C5" i="1"/>
  <c r="C5" i="11"/>
  <c r="C5" i="6"/>
  <c r="C5" i="5"/>
  <c r="C5" i="4"/>
  <c r="C5" i="29"/>
  <c r="C5" i="28"/>
  <c r="F5" i="29" l="1"/>
  <c r="H3" i="29"/>
  <c r="G3" i="29"/>
  <c r="F3" i="29"/>
  <c r="C3" i="29"/>
  <c r="F5" i="28" l="1"/>
  <c r="H3" i="28"/>
  <c r="G3" i="28"/>
  <c r="F3" i="28"/>
  <c r="C3" i="28"/>
  <c r="D4" i="22"/>
  <c r="C3" i="7" l="1"/>
  <c r="C3" i="11"/>
  <c r="C3" i="6"/>
  <c r="C3" i="4"/>
  <c r="C3" i="1"/>
  <c r="C3" i="17"/>
  <c r="F5" i="7" l="1"/>
  <c r="H3" i="7"/>
  <c r="G3" i="7"/>
  <c r="F3" i="7"/>
  <c r="F5" i="11"/>
  <c r="H3" i="11"/>
  <c r="G3" i="11"/>
  <c r="F3" i="11"/>
  <c r="F5" i="6"/>
  <c r="H3" i="6"/>
  <c r="G3" i="6"/>
  <c r="F3" i="6"/>
  <c r="E10" i="22"/>
  <c r="G11" i="22"/>
  <c r="I9" i="22"/>
  <c r="E9" i="22"/>
  <c r="I12" i="22"/>
  <c r="D6" i="22"/>
  <c r="G8" i="22"/>
  <c r="D10" i="22"/>
  <c r="F5" i="22"/>
  <c r="F4" i="22"/>
  <c r="H11" i="22"/>
  <c r="F6" i="22"/>
  <c r="H6" i="22"/>
  <c r="F7" i="22"/>
  <c r="H12" i="22"/>
  <c r="G9" i="22"/>
  <c r="D9" i="22"/>
  <c r="F11" i="22"/>
  <c r="D11" i="22"/>
  <c r="G12" i="22"/>
  <c r="D12" i="22"/>
  <c r="E5" i="22"/>
  <c r="F8" i="22"/>
  <c r="D5" i="22"/>
  <c r="I10" i="22"/>
  <c r="H10" i="22"/>
  <c r="F9" i="22"/>
  <c r="F10" i="22"/>
  <c r="G6" i="22"/>
  <c r="E4" i="22"/>
  <c r="E8" i="22"/>
  <c r="E11" i="22"/>
  <c r="G5" i="22"/>
  <c r="G10" i="22"/>
  <c r="G4" i="22"/>
  <c r="H8" i="22"/>
  <c r="H7" i="22"/>
  <c r="E7" i="22"/>
  <c r="E12" i="22"/>
  <c r="D8" i="22"/>
  <c r="G7" i="22"/>
  <c r="H9" i="22"/>
  <c r="H4" i="22"/>
  <c r="F12" i="22"/>
  <c r="E6" i="22"/>
  <c r="D7" i="22"/>
  <c r="H5" i="22"/>
  <c r="G13" i="22" l="1"/>
  <c r="F13" i="22"/>
  <c r="H13" i="22"/>
  <c r="E13" i="22"/>
  <c r="J4" i="22"/>
  <c r="J10" i="22"/>
  <c r="J6" i="22"/>
  <c r="J11" i="22"/>
  <c r="J7" i="22"/>
  <c r="J12" i="22"/>
  <c r="J8" i="22"/>
  <c r="J9" i="22"/>
  <c r="J5" i="22"/>
  <c r="F5" i="17"/>
  <c r="H3" i="17"/>
  <c r="G3" i="17"/>
  <c r="F3" i="17"/>
  <c r="I5" i="22"/>
  <c r="G14" i="22" l="1"/>
  <c r="D29" i="25" s="1"/>
  <c r="F14" i="22"/>
  <c r="I13" i="22"/>
  <c r="J13" i="22"/>
  <c r="D28" i="25" s="1"/>
  <c r="H14" i="22"/>
  <c r="D30" i="25" s="1"/>
  <c r="F5" i="1"/>
  <c r="I4" i="22"/>
  <c r="I11" i="22"/>
  <c r="F3" i="1" l="1"/>
  <c r="F5" i="5" l="1"/>
  <c r="H3" i="5"/>
  <c r="G3" i="5"/>
  <c r="F3" i="5"/>
  <c r="I8" i="22"/>
  <c r="F5" i="4" l="1"/>
  <c r="H3" i="4"/>
  <c r="G3" i="4"/>
  <c r="F3" i="4"/>
  <c r="I6" i="22"/>
  <c r="I7" i="22"/>
  <c r="H3" i="1" l="1"/>
  <c r="G3" i="1"/>
</calcChain>
</file>

<file path=xl/sharedStrings.xml><?xml version="1.0" encoding="utf-8"?>
<sst xmlns="http://schemas.openxmlformats.org/spreadsheetml/2006/main" count="1033" uniqueCount="792">
  <si>
    <t>No</t>
  </si>
  <si>
    <t>카테고리</t>
    <phoneticPr fontId="2" type="noConversion"/>
  </si>
  <si>
    <t>항목</t>
    <phoneticPr fontId="2" type="noConversion"/>
  </si>
  <si>
    <t>테스트 동작</t>
    <phoneticPr fontId="2" type="noConversion"/>
  </si>
  <si>
    <t>기대 결과</t>
    <phoneticPr fontId="2" type="noConversion"/>
  </si>
  <si>
    <t>테스트 결과</t>
    <phoneticPr fontId="2" type="noConversion"/>
  </si>
  <si>
    <t>비고</t>
    <phoneticPr fontId="2" type="noConversion"/>
  </si>
  <si>
    <t>이더넷</t>
    <phoneticPr fontId="2" type="noConversion"/>
  </si>
  <si>
    <t>다운로드</t>
    <phoneticPr fontId="2" type="noConversion"/>
  </si>
  <si>
    <t>빌드 및 전송 - 이더넷 연결 - 다운로드</t>
    <phoneticPr fontId="2" type="noConversion"/>
  </si>
  <si>
    <t>빌드 및 전송 - 멀티 이더넷 연결 - 다운로드</t>
    <phoneticPr fontId="2" type="noConversion"/>
  </si>
  <si>
    <t>화면 전송</t>
    <phoneticPr fontId="2" type="noConversion"/>
  </si>
  <si>
    <t>전송용 파일 만들기(OS 포함) - 프로젝트 파일 전송</t>
    <phoneticPr fontId="2" type="noConversion"/>
  </si>
  <si>
    <t>전송용 파일 만들기(OS 미포함) - 프로젝트 파일 전송</t>
    <phoneticPr fontId="2" type="noConversion"/>
  </si>
  <si>
    <t>업로드</t>
    <phoneticPr fontId="2" type="noConversion"/>
  </si>
  <si>
    <t>데이터 업로드</t>
    <phoneticPr fontId="2" type="noConversion"/>
  </si>
  <si>
    <t>빌드 및 전송 - 파일 비교</t>
    <phoneticPr fontId="2" type="noConversion"/>
  </si>
  <si>
    <t>USB</t>
    <phoneticPr fontId="2" type="noConversion"/>
  </si>
  <si>
    <t>빌드 및 전송 - USB 연결 - 다운로드</t>
    <phoneticPr fontId="2" type="noConversion"/>
  </si>
  <si>
    <t>HBZ Upload</t>
    <phoneticPr fontId="2" type="noConversion"/>
  </si>
  <si>
    <t>프로젝트 업로드</t>
    <phoneticPr fontId="2" type="noConversion"/>
  </si>
  <si>
    <t>자동 시간 동기화</t>
    <phoneticPr fontId="2" type="noConversion"/>
  </si>
  <si>
    <t>업로드 금지</t>
    <phoneticPr fontId="2" type="noConversion"/>
  </si>
  <si>
    <t>빌드 옵션 설정 - 자동 시간 동기화 체크 - 다운로드</t>
    <phoneticPr fontId="2" type="noConversion"/>
  </si>
  <si>
    <t>빌드 옵션 설정- 빌드 파일에 프로젝트 파일을 포함 체크 - 다운로드</t>
    <phoneticPr fontId="2" type="noConversion"/>
  </si>
  <si>
    <t>빌드 옵션 설정- HBZ 업로드 금지 체크 - 다운로드</t>
    <phoneticPr fontId="2" type="noConversion"/>
  </si>
  <si>
    <t>HBZ 업로드 금지</t>
    <phoneticPr fontId="2" type="noConversion"/>
  </si>
  <si>
    <t>프로젝트 속성 - 업로드 시 HMI 설정 값 가져오기 체크 - 다운로드 - 업로드</t>
    <phoneticPr fontId="2" type="noConversion"/>
  </si>
  <si>
    <t>TDZ</t>
    <phoneticPr fontId="2" type="noConversion"/>
  </si>
  <si>
    <t>다운로드 완료</t>
    <phoneticPr fontId="2" type="noConversion"/>
  </si>
  <si>
    <t>파일 비교</t>
    <phoneticPr fontId="2" type="noConversion"/>
  </si>
  <si>
    <t>테스트 모델</t>
    <phoneticPr fontId="2" type="noConversion"/>
  </si>
  <si>
    <t>정상 동작</t>
    <phoneticPr fontId="2" type="noConversion"/>
  </si>
  <si>
    <t>이상 발견</t>
    <phoneticPr fontId="2" type="noConversion"/>
  </si>
  <si>
    <t>개선 필요</t>
    <phoneticPr fontId="2" type="noConversion"/>
  </si>
  <si>
    <t>테스트 완료</t>
    <phoneticPr fontId="2" type="noConversion"/>
  </si>
  <si>
    <t>기타</t>
    <phoneticPr fontId="2" type="noConversion"/>
  </si>
  <si>
    <t>조건 확장 사용 - 기본 비트 동작 조건</t>
    <phoneticPr fontId="2" type="noConversion"/>
  </si>
  <si>
    <t>조건 확장 사용 - 워드 동작 조건</t>
    <phoneticPr fontId="2" type="noConversion"/>
  </si>
  <si>
    <t>글로벌 경보로 사용</t>
    <phoneticPr fontId="2" type="noConversion"/>
  </si>
  <si>
    <t>데이터 샘플링 사용 - Recovery</t>
    <phoneticPr fontId="2" type="noConversion"/>
  </si>
  <si>
    <t>그룹 조건 사용</t>
    <phoneticPr fontId="2" type="noConversion"/>
  </si>
  <si>
    <t>확장 사용 - Occurrence</t>
    <phoneticPr fontId="2" type="noConversion"/>
  </si>
  <si>
    <t>확장 사용 - PressEnter</t>
    <phoneticPr fontId="2" type="noConversion"/>
  </si>
  <si>
    <t>현재 경보 발생건수 기록</t>
    <phoneticPr fontId="2" type="noConversion"/>
  </si>
  <si>
    <t xml:space="preserve">조치 사항 - Base Screen </t>
    <phoneticPr fontId="2" type="noConversion"/>
  </si>
  <si>
    <t>조치 사항 - Window</t>
    <phoneticPr fontId="2" type="noConversion"/>
  </si>
  <si>
    <t>조치 사항 - Image</t>
    <phoneticPr fontId="2" type="noConversion"/>
  </si>
  <si>
    <t>조치 사항 - Text</t>
    <phoneticPr fontId="2" type="noConversion"/>
  </si>
  <si>
    <t>조치 사항 - PDF</t>
    <phoneticPr fontId="2" type="noConversion"/>
  </si>
  <si>
    <t>조치 사항 - PDF Ext - Page</t>
    <phoneticPr fontId="2" type="noConversion"/>
  </si>
  <si>
    <t>조치 사항 - PDF Ext - Keyword</t>
    <phoneticPr fontId="2" type="noConversion"/>
  </si>
  <si>
    <t>조치 사항 - PDF Ext - Page + Keyword</t>
    <phoneticPr fontId="2" type="noConversion"/>
  </si>
  <si>
    <t>조치 사항 - 번호 저장 - 발생시 저장</t>
    <phoneticPr fontId="2" type="noConversion"/>
  </si>
  <si>
    <t>조치 사항 - 번호 저장 - 확인시 저장</t>
    <phoneticPr fontId="2" type="noConversion"/>
  </si>
  <si>
    <t>경보 뷰 오브젝트 - 키 - Delete</t>
    <phoneticPr fontId="2" type="noConversion"/>
  </si>
  <si>
    <t>경보 뷰 오브젝트 - 키 - Delete All</t>
    <phoneticPr fontId="2" type="noConversion"/>
  </si>
  <si>
    <t>데이터 샘플링 사용 - Occur</t>
    <phoneticPr fontId="2" type="noConversion"/>
  </si>
  <si>
    <t>경보 뷰 오브젝트 - 키 - Confirm</t>
    <phoneticPr fontId="2" type="noConversion"/>
  </si>
  <si>
    <t>경보 뷰 오브젝트 - 키 - Confirm All</t>
    <phoneticPr fontId="2" type="noConversion"/>
  </si>
  <si>
    <t>경보 뷰 오브젝트 - 키 - Solution</t>
    <phoneticPr fontId="2" type="noConversion"/>
  </si>
  <si>
    <t>경보 뷰 오브젝트 - 키 - Data Search</t>
    <phoneticPr fontId="2" type="noConversion"/>
  </si>
  <si>
    <t>경보 뷰 오브젝트 - 키 - Today</t>
    <phoneticPr fontId="2" type="noConversion"/>
  </si>
  <si>
    <t>경보 뷰 오브젝트 - 키 - History</t>
    <phoneticPr fontId="2" type="noConversion"/>
  </si>
  <si>
    <t>경보 뷰 오브젝트 - 키 - File</t>
    <phoneticPr fontId="2" type="noConversion"/>
  </si>
  <si>
    <t>경보 - 내보내기</t>
    <phoneticPr fontId="2" type="noConversion"/>
  </si>
  <si>
    <t>경보 - 가져오기</t>
    <phoneticPr fontId="2" type="noConversion"/>
  </si>
  <si>
    <t>경보 - CSV 내보내기</t>
    <phoneticPr fontId="2" type="noConversion"/>
  </si>
  <si>
    <t>경보 - CSV 가져오기</t>
    <phoneticPr fontId="2" type="noConversion"/>
  </si>
  <si>
    <t>메뉴 화면 - 제어판 - 초기화 - 경보 데이터 삭제</t>
    <phoneticPr fontId="2" type="noConversion"/>
  </si>
  <si>
    <t>기본 동작</t>
    <phoneticPr fontId="2" type="noConversion"/>
  </si>
  <si>
    <t>조치 사항</t>
    <phoneticPr fontId="2" type="noConversion"/>
  </si>
  <si>
    <t>경보 뷰 오브젝트</t>
    <phoneticPr fontId="2" type="noConversion"/>
  </si>
  <si>
    <t>경보 데이터 관리</t>
    <phoneticPr fontId="2" type="noConversion"/>
  </si>
  <si>
    <t>경보 백업</t>
    <phoneticPr fontId="2" type="noConversion"/>
  </si>
  <si>
    <t>경보</t>
    <phoneticPr fontId="2" type="noConversion"/>
  </si>
  <si>
    <t>작업자</t>
    <phoneticPr fontId="2" type="noConversion"/>
  </si>
  <si>
    <t>글로벌 경보 발생</t>
    <phoneticPr fontId="2" type="noConversion"/>
  </si>
  <si>
    <t>조치 사항 - 표시 제한 시간 설정</t>
    <phoneticPr fontId="2" type="noConversion"/>
  </si>
  <si>
    <t>경보 뷰 오브젝트 - 키 - Clear Occur</t>
    <phoneticPr fontId="2" type="noConversion"/>
  </si>
  <si>
    <t>경보 뷰 오브젝트 - 키 - Clear Occur All</t>
    <phoneticPr fontId="2" type="noConversion"/>
  </si>
  <si>
    <t>경보 뷰 오브젝트 - 키 - Statistics View</t>
    <phoneticPr fontId="2" type="noConversion"/>
  </si>
  <si>
    <t>경보 뷰 오브젝트 - 키 - Current Alarm</t>
    <phoneticPr fontId="2" type="noConversion"/>
  </si>
  <si>
    <t>경보 데이터 전체 조회</t>
    <phoneticPr fontId="2" type="noConversion"/>
  </si>
  <si>
    <t>경보 백업 설정 - SD 카드 - 오래된 파일 삭제 단위</t>
    <phoneticPr fontId="2" type="noConversion"/>
  </si>
  <si>
    <t>로그 데이터 관리</t>
    <phoneticPr fontId="2" type="noConversion"/>
  </si>
  <si>
    <t>로그 백업</t>
    <phoneticPr fontId="2" type="noConversion"/>
  </si>
  <si>
    <t>메뉴 화면 - 제어판 - 초기화 - 로그 데이터 삭제</t>
    <phoneticPr fontId="2" type="noConversion"/>
  </si>
  <si>
    <t>로그 뷰 오브젝트</t>
    <phoneticPr fontId="2" type="noConversion"/>
  </si>
  <si>
    <t>로그 뷰 오브젝트 - 키 - View Clear</t>
  </si>
  <si>
    <t>로그 뷰 오브젝트 - 키 - Today</t>
  </si>
  <si>
    <t>로그 뷰 오브젝트 - 키 - History</t>
  </si>
  <si>
    <t>주소 블록 - 비순차 - 데이터 타입 DEC</t>
    <phoneticPr fontId="2" type="noConversion"/>
  </si>
  <si>
    <t>주소 블록 - 비순차 - 데이터 타입 HEX</t>
    <phoneticPr fontId="2" type="noConversion"/>
  </si>
  <si>
    <t>주소 블록 - 비순차 - 데이터 타입 BCD</t>
    <phoneticPr fontId="2" type="noConversion"/>
  </si>
  <si>
    <t>주소 블록 - 심볼 - 데이터 타입 DEC</t>
  </si>
  <si>
    <t>주소 블록 - 심볼 - 데이터 타입 HEX</t>
  </si>
  <si>
    <t>주소 블록 - 심볼 - 데이터 타입 BCD</t>
  </si>
  <si>
    <t>비순차 주소 로그 동작</t>
    <phoneticPr fontId="2" type="noConversion"/>
  </si>
  <si>
    <t>심볼 주소 로그 동작</t>
    <phoneticPr fontId="2" type="noConversion"/>
  </si>
  <si>
    <t>로그 조건</t>
    <phoneticPr fontId="2" type="noConversion"/>
  </si>
  <si>
    <t>로그 조건 만족 시, 데이터 생성</t>
    <phoneticPr fontId="2" type="noConversion"/>
  </si>
  <si>
    <t>주소 블록 - 비순차 - 데이터 타입 UDEC (소수점 자리 2 설정)</t>
    <phoneticPr fontId="2" type="noConversion"/>
  </si>
  <si>
    <t>주소 블록 - 심볼 - 데이터 타입 UDEC (소수점 자리 2 설정)</t>
    <phoneticPr fontId="2" type="noConversion"/>
  </si>
  <si>
    <t>주소 블록 - 비순차 - 데이터 타입 FLOAT (소수점 자리 2 설정)</t>
    <phoneticPr fontId="2" type="noConversion"/>
  </si>
  <si>
    <t>주소 블록 - 심볼 - 데이터 타입 FLOAT (소수점 자리 2 설정)</t>
    <phoneticPr fontId="2" type="noConversion"/>
  </si>
  <si>
    <t>주소 블록 - 비순차 - 데이터 타입 ASCII (문자열 길이 20 설정)</t>
    <phoneticPr fontId="2" type="noConversion"/>
  </si>
  <si>
    <t>주소 블록 - 심볼 - 데이터 타입 ASCII (문자열 길이 20 설정)</t>
    <phoneticPr fontId="2" type="noConversion"/>
  </si>
  <si>
    <t>레시피 데이터 관리</t>
    <phoneticPr fontId="2" type="noConversion"/>
  </si>
  <si>
    <t>레시피 - 내보내기</t>
  </si>
  <si>
    <t>레시피 - 가져오기</t>
  </si>
  <si>
    <t>레시피 - CSV 내보내기</t>
  </si>
  <si>
    <t>레시피 - CSV 가져오기</t>
  </si>
  <si>
    <t>전송 옵션 - 데이터 덮어쓰기</t>
    <phoneticPr fontId="2" type="noConversion"/>
  </si>
  <si>
    <t>기본 데이터 불러오기 사용</t>
    <phoneticPr fontId="2" type="noConversion"/>
  </si>
  <si>
    <t>기본 데이터 불러오기 완료 비트</t>
    <phoneticPr fontId="2" type="noConversion"/>
  </si>
  <si>
    <t>TDS 버전</t>
    <phoneticPr fontId="2" type="noConversion"/>
  </si>
  <si>
    <t>테스트 일자</t>
    <phoneticPr fontId="2" type="noConversion"/>
  </si>
  <si>
    <t>파라미터 다운로드</t>
    <phoneticPr fontId="2" type="noConversion"/>
  </si>
  <si>
    <t>파라미터 다운로드 완료 비트</t>
    <phoneticPr fontId="2" type="noConversion"/>
  </si>
  <si>
    <t>파라미터 업로드</t>
    <phoneticPr fontId="2" type="noConversion"/>
  </si>
  <si>
    <t>파라미터 업로드 완료 비트</t>
    <phoneticPr fontId="2" type="noConversion"/>
  </si>
  <si>
    <t>CSV 파일 저장</t>
    <phoneticPr fontId="2" type="noConversion"/>
  </si>
  <si>
    <t>CSV 파일 저장 완료 비트</t>
    <phoneticPr fontId="2" type="noConversion"/>
  </si>
  <si>
    <t>CSV 파일 불러오기</t>
  </si>
  <si>
    <t>파일번호 사용 - CSV 파일 불러오기</t>
  </si>
  <si>
    <t>CSV 파일 불러오기 완료 비트</t>
  </si>
  <si>
    <t>파일번호 사용 - CSV 파일 저장</t>
    <phoneticPr fontId="2" type="noConversion"/>
  </si>
  <si>
    <t>레시피 파일 저장</t>
    <phoneticPr fontId="2" type="noConversion"/>
  </si>
  <si>
    <t>QR 코드 파일 저장</t>
    <phoneticPr fontId="2" type="noConversion"/>
  </si>
  <si>
    <t>QR 코드 파일 저장 완료 비트</t>
    <phoneticPr fontId="2" type="noConversion"/>
  </si>
  <si>
    <t>레시피 파일 불러오기</t>
    <phoneticPr fontId="2" type="noConversion"/>
  </si>
  <si>
    <t>QR 코드 파일 불러오기</t>
  </si>
  <si>
    <t>QR 코드 파일 불러오기 완료 비트</t>
  </si>
  <si>
    <t>데이터셋</t>
    <phoneticPr fontId="2" type="noConversion"/>
  </si>
  <si>
    <t>레시피 데이터</t>
    <phoneticPr fontId="2" type="noConversion"/>
  </si>
  <si>
    <t>레시피 에디터</t>
    <phoneticPr fontId="2" type="noConversion"/>
  </si>
  <si>
    <t>Import</t>
    <phoneticPr fontId="2" type="noConversion"/>
  </si>
  <si>
    <t>Export</t>
    <phoneticPr fontId="2" type="noConversion"/>
  </si>
  <si>
    <t>아이템 번호 - Download</t>
    <phoneticPr fontId="2" type="noConversion"/>
  </si>
  <si>
    <t>아이템 번호 - Upload</t>
    <phoneticPr fontId="2" type="noConversion"/>
  </si>
  <si>
    <t>선택한 아이템 삭제</t>
    <phoneticPr fontId="2" type="noConversion"/>
  </si>
  <si>
    <t>초기 파라미터 값 복귀</t>
    <phoneticPr fontId="2" type="noConversion"/>
  </si>
  <si>
    <t>아이템 추가 버튼</t>
    <phoneticPr fontId="2" type="noConversion"/>
  </si>
  <si>
    <t>아이템 삭제 버튼</t>
    <phoneticPr fontId="2" type="noConversion"/>
  </si>
  <si>
    <t>데이터 전체 삭제(Clear) 버튼</t>
    <phoneticPr fontId="2" type="noConversion"/>
  </si>
  <si>
    <t>데이터 리셋(Reset) 버튼</t>
    <phoneticPr fontId="2" type="noConversion"/>
  </si>
  <si>
    <t>데이터 검색(Search) 버튼</t>
    <phoneticPr fontId="2" type="noConversion"/>
  </si>
  <si>
    <t>레시피 CSV 파일 내보내기</t>
    <phoneticPr fontId="2" type="noConversion"/>
  </si>
  <si>
    <t>선택한 아이템 번호의 파라미터 데이터 쓰기</t>
    <phoneticPr fontId="2" type="noConversion"/>
  </si>
  <si>
    <t>메뉴 화면 - 제어판 - 초기화 - 레시피 데이터 삭제</t>
    <phoneticPr fontId="2" type="noConversion"/>
  </si>
  <si>
    <t>TDS에 설정된 레시피 데이터 적용</t>
    <phoneticPr fontId="2" type="noConversion"/>
  </si>
  <si>
    <t>레시피 전송</t>
    <phoneticPr fontId="2" type="noConversion"/>
  </si>
  <si>
    <t>파리미터 데이터 업로드</t>
    <phoneticPr fontId="2" type="noConversion"/>
  </si>
  <si>
    <t>파라미터 데이터 다운로드</t>
    <phoneticPr fontId="2" type="noConversion"/>
  </si>
  <si>
    <t>파라미터 데이터 다운로드 조건 만족 시 ON</t>
    <phoneticPr fontId="2" type="noConversion"/>
  </si>
  <si>
    <t>파라미터 데이터 업로드 조건 만족 시 ON</t>
    <phoneticPr fontId="2" type="noConversion"/>
  </si>
  <si>
    <t>기본 데이터 불러오기 조건 만족 시 ON</t>
    <phoneticPr fontId="2" type="noConversion"/>
  </si>
  <si>
    <t>CSV 파일 생성</t>
    <phoneticPr fontId="2" type="noConversion"/>
  </si>
  <si>
    <t>QR 코드 파일 생성</t>
    <phoneticPr fontId="2" type="noConversion"/>
  </si>
  <si>
    <t>QR 코드 파일 저장 조건 만족 시 ON</t>
    <phoneticPr fontId="2" type="noConversion"/>
  </si>
  <si>
    <t>QR 코드 파일 불러오기 조건 만족 시 ON</t>
    <phoneticPr fontId="2" type="noConversion"/>
  </si>
  <si>
    <t>로그</t>
    <phoneticPr fontId="2" type="noConversion"/>
  </si>
  <si>
    <t>레시피</t>
    <phoneticPr fontId="2" type="noConversion"/>
  </si>
  <si>
    <t>.hlog 파일 생성</t>
    <phoneticPr fontId="2" type="noConversion"/>
  </si>
  <si>
    <t>.hlog 파일 불러오기 정상</t>
    <phoneticPr fontId="2" type="noConversion"/>
  </si>
  <si>
    <t>.hrcp 파일 생성</t>
    <phoneticPr fontId="2" type="noConversion"/>
  </si>
  <si>
    <t>.hrcp 파일 불러오기 정상</t>
    <phoneticPr fontId="2" type="noConversion"/>
  </si>
  <si>
    <t>문자열 데이터 관리</t>
    <phoneticPr fontId="2" type="noConversion"/>
  </si>
  <si>
    <t>문자열 - 내보내기</t>
  </si>
  <si>
    <t>문자열 - 가져오기</t>
  </si>
  <si>
    <t>문자열 - CSV 내보내기</t>
  </si>
  <si>
    <t>문자열 - CSV 가져오기</t>
  </si>
  <si>
    <t>.hstr 파일 생성</t>
    <phoneticPr fontId="2" type="noConversion"/>
  </si>
  <si>
    <t>.hstr 파일 불러오기 정상</t>
    <phoneticPr fontId="2" type="noConversion"/>
  </si>
  <si>
    <t>언어 설정 - 다국어 추가</t>
    <phoneticPr fontId="2" type="noConversion"/>
  </si>
  <si>
    <t>다국어 테이블 활성화</t>
    <phoneticPr fontId="2" type="noConversion"/>
  </si>
  <si>
    <t>사용 여부 검사</t>
    <phoneticPr fontId="2" type="noConversion"/>
  </si>
  <si>
    <t>특수 주소 - MULTI_LANGUAGE</t>
    <phoneticPr fontId="2" type="noConversion"/>
  </si>
  <si>
    <r>
      <t xml:space="preserve">도구 - 문자열 변환 - 문자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3"/>
        <charset val="129"/>
      </rPr>
      <t>문자열</t>
    </r>
    <r>
      <rPr>
        <sz val="11"/>
        <color theme="1"/>
        <rFont val="맑은 고딕"/>
        <family val="2"/>
        <charset val="129"/>
      </rPr>
      <t xml:space="preserve"> 테이블</t>
    </r>
    <phoneticPr fontId="2" type="noConversion"/>
  </si>
  <si>
    <r>
      <t xml:space="preserve">도구 - 문자열 변환 - 문자열 테이블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3"/>
        <charset val="129"/>
      </rPr>
      <t>문자</t>
    </r>
    <phoneticPr fontId="2" type="noConversion"/>
  </si>
  <si>
    <t>문자열 검색</t>
    <phoneticPr fontId="2" type="noConversion"/>
  </si>
  <si>
    <t>검색어 조회</t>
    <phoneticPr fontId="2" type="noConversion"/>
  </si>
  <si>
    <t>메시지 뷰 - 비트 - 문자열 테이블</t>
    <phoneticPr fontId="2" type="noConversion"/>
  </si>
  <si>
    <t>메시지 뷰 - 워드 가변 - 선택 고정</t>
    <phoneticPr fontId="2" type="noConversion"/>
  </si>
  <si>
    <t>메시지 뷰 - 워드 가변 - 주소 가변</t>
    <phoneticPr fontId="2" type="noConversion"/>
  </si>
  <si>
    <t>다국어</t>
    <phoneticPr fontId="2" type="noConversion"/>
  </si>
  <si>
    <t>문자열 설정</t>
    <phoneticPr fontId="2" type="noConversion"/>
  </si>
  <si>
    <t>문자열 변환</t>
    <phoneticPr fontId="2" type="noConversion"/>
  </si>
  <si>
    <t>메시지 뷰</t>
    <phoneticPr fontId="2" type="noConversion"/>
  </si>
  <si>
    <t>로그 - 컬럼 제목 - 문자열 테이블</t>
    <phoneticPr fontId="2" type="noConversion"/>
  </si>
  <si>
    <t>경보 - 문자열 타입 - 문자열 테이블</t>
    <phoneticPr fontId="2" type="noConversion"/>
  </si>
  <si>
    <t>조건 만족 시, 문자열 데이터 표시</t>
    <phoneticPr fontId="2" type="noConversion"/>
  </si>
  <si>
    <t>문자열</t>
    <phoneticPr fontId="2" type="noConversion"/>
  </si>
  <si>
    <t>VNC 서버 접속</t>
    <phoneticPr fontId="2" type="noConversion"/>
  </si>
  <si>
    <t>원격 HMI 서버 - VNC 서버 시작 - 클라이언트 접속</t>
    <phoneticPr fontId="2" type="noConversion"/>
  </si>
  <si>
    <t>원격 HMI 서버 - 자동 시작</t>
    <phoneticPr fontId="2" type="noConversion"/>
  </si>
  <si>
    <t>원격 HMI 서버 - 원격 제어 금지</t>
    <phoneticPr fontId="2" type="noConversion"/>
  </si>
  <si>
    <t>원격 HMI 서버 - VNC 서버 시작 - 클라이언트 동작 제어</t>
    <phoneticPr fontId="2" type="noConversion"/>
  </si>
  <si>
    <t>클라이언트 동작 제어 불가</t>
    <phoneticPr fontId="2" type="noConversion"/>
  </si>
  <si>
    <t>TOP Remote View - VNC 서버 시작 - 클라이언트 접속</t>
  </si>
  <si>
    <t>TOP Remote View - VNC 서버 시작 - 클라이언트 동작 제어</t>
  </si>
  <si>
    <t>TOP Remote View - 자동 시작</t>
  </si>
  <si>
    <t>TOP Remote View - 원격 제어 금지</t>
  </si>
  <si>
    <t>VNC 원격 제어 차단</t>
    <phoneticPr fontId="2" type="noConversion"/>
  </si>
  <si>
    <t>VNC 뷰어 - VNC 접속</t>
    <phoneticPr fontId="2" type="noConversion"/>
  </si>
  <si>
    <t>VNC 뷰어 - TOP Remote View - Admin  접속</t>
    <phoneticPr fontId="2" type="noConversion"/>
  </si>
  <si>
    <t>VNC 뷰어 - TOP Remote View - 보안 계정 접속</t>
    <phoneticPr fontId="2" type="noConversion"/>
  </si>
  <si>
    <t>FTP 서버 - SD 카드</t>
    <phoneticPr fontId="2" type="noConversion"/>
  </si>
  <si>
    <t xml:space="preserve">FTP 서버 - eMMC </t>
    <phoneticPr fontId="2" type="noConversion"/>
  </si>
  <si>
    <t>FTP - 접속</t>
    <phoneticPr fontId="2" type="noConversion"/>
  </si>
  <si>
    <t>eMMC 접근 및 쓰기</t>
    <phoneticPr fontId="2" type="noConversion"/>
  </si>
  <si>
    <t>FTP 서버 접속</t>
    <phoneticPr fontId="2" type="noConversion"/>
  </si>
  <si>
    <t>VNC</t>
    <phoneticPr fontId="2" type="noConversion"/>
  </si>
  <si>
    <t>TOP Remote View</t>
    <phoneticPr fontId="2" type="noConversion"/>
  </si>
  <si>
    <t>VNC 뷰어</t>
    <phoneticPr fontId="2" type="noConversion"/>
  </si>
  <si>
    <t>FTP</t>
    <phoneticPr fontId="2" type="noConversion"/>
  </si>
  <si>
    <t>원격
HMI 서버</t>
    <phoneticPr fontId="2" type="noConversion"/>
  </si>
  <si>
    <t>VNC</t>
    <phoneticPr fontId="2" type="noConversion"/>
  </si>
  <si>
    <t>FTP</t>
    <phoneticPr fontId="2" type="noConversion"/>
  </si>
  <si>
    <t>TDS 특수 주소</t>
    <phoneticPr fontId="2" type="noConversion"/>
  </si>
  <si>
    <t>TOP Remote View 보안 계정 접속</t>
    <phoneticPr fontId="2" type="noConversion"/>
  </si>
  <si>
    <t>PLC 주소로 부터 화면 번호 쓰기</t>
    <phoneticPr fontId="2" type="noConversion"/>
  </si>
  <si>
    <t>PLC 주소로 부터 화면 번호 읽기</t>
    <phoneticPr fontId="2" type="noConversion"/>
  </si>
  <si>
    <t>PLC 날짜/시간 동기화</t>
    <phoneticPr fontId="2" type="noConversion"/>
  </si>
  <si>
    <t>HMI 날짜/시간 동기화</t>
    <phoneticPr fontId="2" type="noConversion"/>
  </si>
  <si>
    <t>특수 기능 - Password Change</t>
    <phoneticPr fontId="2" type="noConversion"/>
  </si>
  <si>
    <t>스크립트 함수 - Add User</t>
    <phoneticPr fontId="2" type="noConversion"/>
  </si>
  <si>
    <t>스크립트 함수 - Import User Info From CSV</t>
    <phoneticPr fontId="2" type="noConversion"/>
  </si>
  <si>
    <t>스크립트 함수 - Export User Info From CSV</t>
    <phoneticPr fontId="2" type="noConversion"/>
  </si>
  <si>
    <t>특수 주소 - SECURITY_LOGIN_LEVEL</t>
    <phoneticPr fontId="2" type="noConversion"/>
  </si>
  <si>
    <t>특수 주소 - SECURITY_LOGIN_SECOND</t>
    <phoneticPr fontId="2" type="noConversion"/>
  </si>
  <si>
    <t>비밀번호 유효한 날짜 정상 표시</t>
    <phoneticPr fontId="2" type="noConversion"/>
  </si>
  <si>
    <t>현재 로그인 계정 레벨 표시</t>
    <phoneticPr fontId="2" type="noConversion"/>
  </si>
  <si>
    <t>특수 주소 - SECURITY_PASSWORD_EXPDAY</t>
    <phoneticPr fontId="2" type="noConversion"/>
  </si>
  <si>
    <t>TDS 프로젝트 열기 시, 비밀번호 요구</t>
    <phoneticPr fontId="2" type="noConversion"/>
  </si>
  <si>
    <t>계정 정보 CSV 파일 추출</t>
    <phoneticPr fontId="2" type="noConversion"/>
  </si>
  <si>
    <t>CSV 파일로 부터 계정 정보 가져오기</t>
    <phoneticPr fontId="2" type="noConversion"/>
  </si>
  <si>
    <t>로그 - 내보내기</t>
    <phoneticPr fontId="2" type="noConversion"/>
  </si>
  <si>
    <t>로그 - 가져오기</t>
    <phoneticPr fontId="2" type="noConversion"/>
  </si>
  <si>
    <t>보안 데이터 관리</t>
    <phoneticPr fontId="2" type="noConversion"/>
  </si>
  <si>
    <t>사용자 관리 및 권한 - 사용자 권한 - 데이터 없음</t>
    <phoneticPr fontId="2" type="noConversion"/>
  </si>
  <si>
    <t>사용자 관리 및 권한 - 사용자 권한 - 데이터 보기</t>
    <phoneticPr fontId="2" type="noConversion"/>
  </si>
  <si>
    <t>사용자 관리 및 권한 - 사용자 권한 - 내보내기</t>
    <phoneticPr fontId="2" type="noConversion"/>
  </si>
  <si>
    <t>사용자 관리 및 권한 - 사용자 권한 - 삭제</t>
    <phoneticPr fontId="2" type="noConversion"/>
  </si>
  <si>
    <t>사용자 권한 - VNC 권한 없음</t>
    <phoneticPr fontId="2" type="noConversion"/>
  </si>
  <si>
    <t>사용자 권한 - VNC 권한 보기</t>
    <phoneticPr fontId="2" type="noConversion"/>
  </si>
  <si>
    <t>사용자 권한 - VNC 권한 제어</t>
    <phoneticPr fontId="2" type="noConversion"/>
  </si>
  <si>
    <t>오브젝트 - 보안 레벨 설정</t>
    <phoneticPr fontId="2" type="noConversion"/>
  </si>
  <si>
    <t>오브젝트 - 보안 레벨 설정 + 미달 시 숨김 처리 설정</t>
    <phoneticPr fontId="2" type="noConversion"/>
  </si>
  <si>
    <t>보안 레벨 미달 시, 오브젝트 숨김</t>
    <phoneticPr fontId="2" type="noConversion"/>
  </si>
  <si>
    <t>오브젝트 - 보안 로그 생성</t>
    <phoneticPr fontId="2" type="noConversion"/>
  </si>
  <si>
    <t>오브젝트 - 보안 로그 생성 + 메모 등록</t>
    <phoneticPr fontId="2" type="noConversion"/>
  </si>
  <si>
    <t>변경 이력 및 추적 설정 - 보안 로그 생성</t>
    <phoneticPr fontId="2" type="noConversion"/>
  </si>
  <si>
    <t>이전 값, 변경 값에 대한 정보가 포함된 보안 로그 생성</t>
    <phoneticPr fontId="2" type="noConversion"/>
  </si>
  <si>
    <t>특수 기능 - User Manager Call - 관리자 외 계정 접속</t>
    <phoneticPr fontId="2" type="noConversion"/>
  </si>
  <si>
    <t>특수 기능 - User Manager Call - 관리자 계정 접속</t>
    <phoneticPr fontId="2" type="noConversion"/>
  </si>
  <si>
    <t>User Manager Call 활성화</t>
    <phoneticPr fontId="2" type="noConversion"/>
  </si>
  <si>
    <t>특수 기능 - User Manager Call - 관리자 계정 접속 - 설정 변경</t>
    <phoneticPr fontId="2" type="noConversion"/>
  </si>
  <si>
    <t xml:space="preserve">보안 - 계정 + 비밀번호 - 사용자 입력 - QR 코드 로그인 </t>
    <phoneticPr fontId="2" type="noConversion"/>
  </si>
  <si>
    <t>보안 - 계정 + 비밀번호 - 주소 참조</t>
    <phoneticPr fontId="2" type="noConversion"/>
  </si>
  <si>
    <t>참조 주소에 따른 가변 비밀번호 로그인 성공</t>
    <phoneticPr fontId="2" type="noConversion"/>
  </si>
  <si>
    <t>보안 - 내보내기</t>
    <phoneticPr fontId="2" type="noConversion"/>
  </si>
  <si>
    <t>보안 - 가져오기</t>
    <phoneticPr fontId="2" type="noConversion"/>
  </si>
  <si>
    <t>.hsec 파일 불러오기 정상</t>
    <phoneticPr fontId="2" type="noConversion"/>
  </si>
  <si>
    <t>특수 기능 -  Get User ID</t>
    <phoneticPr fontId="2" type="noConversion"/>
  </si>
  <si>
    <t>특수 기능 - Get User Name</t>
    <phoneticPr fontId="2" type="noConversion"/>
  </si>
  <si>
    <t>현재 로그인 중 계정 이름 불러오기</t>
    <phoneticPr fontId="2" type="noConversion"/>
  </si>
  <si>
    <t>특수 기능 - Auto Login</t>
    <phoneticPr fontId="2" type="noConversion"/>
  </si>
  <si>
    <t>설정 주소 데이터에 의한 로그인 성공</t>
    <phoneticPr fontId="2" type="noConversion"/>
  </si>
  <si>
    <t>관리자 비밀번호 설정 - 메뉴화면 제어판</t>
    <phoneticPr fontId="2" type="noConversion"/>
  </si>
  <si>
    <t>프로젝트</t>
    <phoneticPr fontId="2" type="noConversion"/>
  </si>
  <si>
    <t>관리자 비밀번호</t>
    <phoneticPr fontId="2" type="noConversion"/>
  </si>
  <si>
    <t>관리자 비밀번호 설정 - 작화 업로드</t>
    <phoneticPr fontId="2" type="noConversion"/>
  </si>
  <si>
    <t>계정</t>
    <phoneticPr fontId="2" type="noConversion"/>
  </si>
  <si>
    <t>특수 주소</t>
    <phoneticPr fontId="2" type="noConversion"/>
  </si>
  <si>
    <t>특수 기능</t>
    <phoneticPr fontId="2" type="noConversion"/>
  </si>
  <si>
    <t>스크립트 함수</t>
    <phoneticPr fontId="2" type="noConversion"/>
  </si>
  <si>
    <t>오브젝트</t>
    <phoneticPr fontId="2" type="noConversion"/>
  </si>
  <si>
    <t>보안 로그</t>
    <phoneticPr fontId="2" type="noConversion"/>
  </si>
  <si>
    <t>보안</t>
    <phoneticPr fontId="2" type="noConversion"/>
  </si>
  <si>
    <t>주소 기반 PLC 통신 테스트</t>
    <phoneticPr fontId="2" type="noConversion"/>
  </si>
  <si>
    <t>변수 기반 PLC 통신 테스트</t>
    <phoneticPr fontId="2" type="noConversion"/>
  </si>
  <si>
    <t>심볼</t>
    <phoneticPr fontId="2" type="noConversion"/>
  </si>
  <si>
    <t>DHCP</t>
    <phoneticPr fontId="2" type="noConversion"/>
  </si>
  <si>
    <t>브릿지 모드 DHCP IP 할당</t>
    <phoneticPr fontId="2" type="noConversion"/>
  </si>
  <si>
    <t>특수 주소 - COMM_ENET_STATUS</t>
    <phoneticPr fontId="2" type="noConversion"/>
  </si>
  <si>
    <t>특수 주소 - ERROR_ENET_IP1</t>
    <phoneticPr fontId="2" type="noConversion"/>
  </si>
  <si>
    <t>브릿지 모드 상태에서 DHCP 설정된 IP 영역 자동 할당</t>
    <phoneticPr fontId="2" type="noConversion"/>
  </si>
  <si>
    <t>PLC 주소로 부터 HMI 시간 변경</t>
    <phoneticPr fontId="2" type="noConversion"/>
  </si>
  <si>
    <t>스크립트</t>
    <phoneticPr fontId="2" type="noConversion"/>
  </si>
  <si>
    <t>DHCP IP 할당</t>
    <phoneticPr fontId="2" type="noConversion"/>
  </si>
  <si>
    <t>동기화</t>
    <phoneticPr fontId="2" type="noConversion"/>
  </si>
  <si>
    <t>PLC</t>
    <phoneticPr fontId="2" type="noConversion"/>
  </si>
  <si>
    <t>보고서</t>
    <phoneticPr fontId="2" type="noConversion"/>
  </si>
  <si>
    <t>폼 보고서</t>
    <phoneticPr fontId="2" type="noConversion"/>
  </si>
  <si>
    <t>리스트 보고서</t>
    <phoneticPr fontId="2" type="noConversion"/>
  </si>
  <si>
    <t>자유양식 보고서</t>
    <phoneticPr fontId="2" type="noConversion"/>
  </si>
  <si>
    <t>데이터베이스 보고서</t>
    <phoneticPr fontId="2" type="noConversion"/>
  </si>
  <si>
    <t>데이터베이스 - 쿼리 - 조회</t>
  </si>
  <si>
    <t>데이터베이스 - 쿼리 - 삽입</t>
  </si>
  <si>
    <t>데이터베이스 - 쿼리 - 수정</t>
  </si>
  <si>
    <t>데이터베이스 - 쿼리 - 삭제</t>
  </si>
  <si>
    <t>외부 DB로 부터 데이터 접근 제한</t>
    <phoneticPr fontId="2" type="noConversion"/>
  </si>
  <si>
    <t xml:space="preserve">21 CFR Part 11 - 암호화 </t>
    <phoneticPr fontId="2" type="noConversion"/>
  </si>
  <si>
    <t>21 CFR Part 11 - 내보내기 PDF 변환</t>
    <phoneticPr fontId="2" type="noConversion"/>
  </si>
  <si>
    <t>21 CFR Part 11 - 데이터베이스 이중화</t>
    <phoneticPr fontId="2" type="noConversion"/>
  </si>
  <si>
    <t>21 CFR Part 11 - 결제란 추가</t>
    <phoneticPr fontId="2" type="noConversion"/>
  </si>
  <si>
    <t>보안 로그 컬럼 커스텀 기능</t>
    <phoneticPr fontId="2" type="noConversion"/>
  </si>
  <si>
    <t>보안 로그 컬럼 커스텀을 통한 조회 여부</t>
    <phoneticPr fontId="2" type="noConversion"/>
  </si>
  <si>
    <t>데이터베이스 동기화</t>
    <phoneticPr fontId="2" type="noConversion"/>
  </si>
  <si>
    <t>TOP-VIEW</t>
    <phoneticPr fontId="2" type="noConversion"/>
  </si>
  <si>
    <t>다운로드 완료</t>
    <phoneticPr fontId="2" type="noConversion"/>
  </si>
  <si>
    <t>화면 다운로드 완료</t>
    <phoneticPr fontId="2" type="noConversion"/>
  </si>
  <si>
    <t>OS 버전 적용 다운로드 완료</t>
    <phoneticPr fontId="2" type="noConversion"/>
  </si>
  <si>
    <t>HMI OS 버전 유지 다운로드 완료</t>
    <phoneticPr fontId="2" type="noConversion"/>
  </si>
  <si>
    <t>TDS 업로드 완료</t>
    <phoneticPr fontId="2" type="noConversion"/>
  </si>
  <si>
    <t>다운로드 완료</t>
    <phoneticPr fontId="2" type="noConversion"/>
  </si>
  <si>
    <t>HBZ 업로드 완료</t>
    <phoneticPr fontId="2" type="noConversion"/>
  </si>
  <si>
    <t>TDS 업로드 완료</t>
    <phoneticPr fontId="2" type="noConversion"/>
  </si>
  <si>
    <t>파일 비교 완료</t>
    <phoneticPr fontId="2" type="noConversion"/>
  </si>
  <si>
    <t>PC 시간 적용 완료</t>
    <phoneticPr fontId="2" type="noConversion"/>
  </si>
  <si>
    <t>TDS 업로드 불가 / HBZ 업로드 가능</t>
    <phoneticPr fontId="2" type="noConversion"/>
  </si>
  <si>
    <t>TDS, HBZ 업로드 불가</t>
    <phoneticPr fontId="2" type="noConversion"/>
  </si>
  <si>
    <t>HMI 설정값이 포함된 TDZ 업로드</t>
    <phoneticPr fontId="2" type="noConversion"/>
  </si>
  <si>
    <t>.halm 파일 생성</t>
    <phoneticPr fontId="2" type="noConversion"/>
  </si>
  <si>
    <t>.halm 파일 불러오기 정상</t>
    <phoneticPr fontId="2" type="noConversion"/>
  </si>
  <si>
    <t>CSV 파일 불러오기 정상</t>
    <phoneticPr fontId="2" type="noConversion"/>
  </si>
  <si>
    <t>선택 경보 알람 이력 삭제</t>
    <phoneticPr fontId="2" type="noConversion"/>
  </si>
  <si>
    <t>모든 경보 이력 삭제</t>
    <phoneticPr fontId="2" type="noConversion"/>
  </si>
  <si>
    <t>선택 경보 알람 발생 횟수 초기화</t>
    <phoneticPr fontId="2" type="noConversion"/>
  </si>
  <si>
    <t>모든 경보 발생 횟수 초기화</t>
    <phoneticPr fontId="2" type="noConversion"/>
  </si>
  <si>
    <t>선택 경보 확인</t>
    <phoneticPr fontId="2" type="noConversion"/>
  </si>
  <si>
    <t>모든 경보 확인</t>
    <phoneticPr fontId="2" type="noConversion"/>
  </si>
  <si>
    <t>선택 경보 조치사항 동작</t>
    <phoneticPr fontId="2" type="noConversion"/>
  </si>
  <si>
    <t>선택 날짜의 경보 데이터 조회</t>
    <phoneticPr fontId="2" type="noConversion"/>
  </si>
  <si>
    <t>경보 통계 뷰어 호출</t>
    <phoneticPr fontId="2" type="noConversion"/>
  </si>
  <si>
    <t>현재 발생중인 경보만 조회</t>
    <phoneticPr fontId="2" type="noConversion"/>
  </si>
  <si>
    <t>오늘 날짜의 경보 데이터 조회</t>
    <phoneticPr fontId="2" type="noConversion"/>
  </si>
  <si>
    <t>SD 카드에 백업된 경보 파일 조회</t>
    <phoneticPr fontId="2" type="noConversion"/>
  </si>
  <si>
    <t>HMI 경보 데이터 삭제</t>
    <phoneticPr fontId="2" type="noConversion"/>
  </si>
  <si>
    <t>로그 조건 만족 시, 데이터 생성</t>
    <phoneticPr fontId="2" type="noConversion"/>
  </si>
  <si>
    <t>로그 조건 만족 시, 데이터 생성</t>
    <phoneticPr fontId="2" type="noConversion"/>
  </si>
  <si>
    <t>로그 조건 만족 시, 데이터 생성</t>
    <phoneticPr fontId="2" type="noConversion"/>
  </si>
  <si>
    <t>로그 뷰 오브젝트 데이터 생성</t>
    <phoneticPr fontId="2" type="noConversion"/>
  </si>
  <si>
    <t>선택 날짜의 로그 데이터 조회</t>
    <phoneticPr fontId="2" type="noConversion"/>
  </si>
  <si>
    <t>로그 뷰 오브젝트 화면 클리어</t>
    <phoneticPr fontId="2" type="noConversion"/>
  </si>
  <si>
    <t>오늘 날짜의 로그 데이터 조회</t>
    <phoneticPr fontId="2" type="noConversion"/>
  </si>
  <si>
    <t>로그 데이터 전체 조회</t>
    <phoneticPr fontId="2" type="noConversion"/>
  </si>
  <si>
    <t>SD 카드에 백업된 로그 파일 조회</t>
    <phoneticPr fontId="2" type="noConversion"/>
  </si>
  <si>
    <t>SD 카드에 모든 로그 백업 후, 백업된 데이터 삭제</t>
    <phoneticPr fontId="2" type="noConversion"/>
  </si>
  <si>
    <t>HMI 로그 데이터 삭제</t>
    <phoneticPr fontId="2" type="noConversion"/>
  </si>
  <si>
    <t>CSV 파일 불러오기 정상</t>
    <phoneticPr fontId="2" type="noConversion"/>
  </si>
  <si>
    <t>설정한 번호가 포함된 CSV 파일 생성</t>
    <phoneticPr fontId="2" type="noConversion"/>
  </si>
  <si>
    <t>CSV 파일 저장 조건 만족 시 ON</t>
    <phoneticPr fontId="2" type="noConversion"/>
  </si>
  <si>
    <t>CSV 파일 불러오기</t>
    <phoneticPr fontId="2" type="noConversion"/>
  </si>
  <si>
    <t>설정한 번호가 포함된 CSV 파일 불러오기</t>
    <phoneticPr fontId="2" type="noConversion"/>
  </si>
  <si>
    <t>CSV 파일 불러오기 조건 만족 시 ON</t>
    <phoneticPr fontId="2" type="noConversion"/>
  </si>
  <si>
    <t>QR 코드 파일 불러오기</t>
    <phoneticPr fontId="2" type="noConversion"/>
  </si>
  <si>
    <t>레시피 에디터 호출</t>
    <phoneticPr fontId="2" type="noConversion"/>
  </si>
  <si>
    <t>레시피 CSV 파일 불러오기</t>
    <phoneticPr fontId="2" type="noConversion"/>
  </si>
  <si>
    <t>파리미터 주소값으로 부터 선택한 아이템 번호로 읽기</t>
    <phoneticPr fontId="2" type="noConversion"/>
  </si>
  <si>
    <t>전체 데이터 삭제</t>
    <phoneticPr fontId="2" type="noConversion"/>
  </si>
  <si>
    <t>초기 파라미터 값 복귀</t>
    <phoneticPr fontId="2" type="noConversion"/>
  </si>
  <si>
    <t>설정한 아이템, 파라미터 검색</t>
    <phoneticPr fontId="2" type="noConversion"/>
  </si>
  <si>
    <t>사용 여부 조회</t>
    <phoneticPr fontId="2" type="noConversion"/>
  </si>
  <si>
    <t>로그 뷰 오브젝트 컬럼 문자열 정상 표시</t>
    <phoneticPr fontId="2" type="noConversion"/>
  </si>
  <si>
    <t>경보 뷰 오브젝트 메시지 문자열 정상 표시</t>
    <phoneticPr fontId="2" type="noConversion"/>
  </si>
  <si>
    <t>다국어 언어 변경</t>
    <phoneticPr fontId="2" type="noConversion"/>
  </si>
  <si>
    <t>문자 → 문자열 테이블 변환</t>
    <phoneticPr fontId="2" type="noConversion"/>
  </si>
  <si>
    <t>문자열 테이블 → 문자 변환</t>
    <phoneticPr fontId="2" type="noConversion"/>
  </si>
  <si>
    <t>다운로드 시, 비밀번호 요구</t>
    <phoneticPr fontId="2" type="noConversion"/>
  </si>
  <si>
    <t>업로드 시, 비밀번호 요구</t>
    <phoneticPr fontId="2" type="noConversion"/>
  </si>
  <si>
    <t>HMI 메뉴 화면 또는 제어판 진입 시 비밀번호 요구</t>
    <phoneticPr fontId="2" type="noConversion"/>
  </si>
  <si>
    <t>QR 코드를 통한 로그인 성공</t>
    <phoneticPr fontId="2" type="noConversion"/>
  </si>
  <si>
    <t>모든 시스템 권한 없음</t>
    <phoneticPr fontId="2" type="noConversion"/>
  </si>
  <si>
    <t>시스템 권한 조회까지 허용</t>
    <phoneticPr fontId="2" type="noConversion"/>
  </si>
  <si>
    <t>시스템 권한 내보내기까지 허용</t>
    <phoneticPr fontId="2" type="noConversion"/>
  </si>
  <si>
    <t>모든 시스템 권한 획득</t>
    <phoneticPr fontId="2" type="noConversion"/>
  </si>
  <si>
    <t>.hsec 파일 생성</t>
    <phoneticPr fontId="2" type="noConversion"/>
  </si>
  <si>
    <t>미동작 시 로그인 유지 시간 정상 동작</t>
    <phoneticPr fontId="2" type="noConversion"/>
  </si>
  <si>
    <t>현재 로그인 중 ID 불러오기</t>
    <phoneticPr fontId="2" type="noConversion"/>
  </si>
  <si>
    <t>비밀번호 변경 창 호출</t>
    <phoneticPr fontId="2" type="noConversion"/>
  </si>
  <si>
    <t>User Manager Call 비활성화</t>
    <phoneticPr fontId="2" type="noConversion"/>
  </si>
  <si>
    <t>변경 된 설정에 대한 보안 로그 기록</t>
    <phoneticPr fontId="2" type="noConversion"/>
  </si>
  <si>
    <t>HMI 운전 중 계정 추가</t>
    <phoneticPr fontId="2" type="noConversion"/>
  </si>
  <si>
    <t>보안 레벨 미달 시, 계정 제어 불가</t>
    <phoneticPr fontId="2" type="noConversion"/>
  </si>
  <si>
    <t>제어 동작에 대한 보안 로그 생성</t>
    <phoneticPr fontId="2" type="noConversion"/>
  </si>
  <si>
    <t>메모 정보가 포함된 보안 로그 생성</t>
    <phoneticPr fontId="2" type="noConversion"/>
  </si>
  <si>
    <t>클라이언트 동작 제어</t>
    <phoneticPr fontId="2" type="noConversion"/>
  </si>
  <si>
    <t>전원 인가 시, VNC 서버 자동 실행</t>
    <phoneticPr fontId="2" type="noConversion"/>
  </si>
  <si>
    <t>VNC 클라이언트 접속</t>
    <phoneticPr fontId="2" type="noConversion"/>
  </si>
  <si>
    <t>TOP Remote View 관리자 접속</t>
    <phoneticPr fontId="2" type="noConversion"/>
  </si>
  <si>
    <t>TOP Remote View 클라이언트 수</t>
    <phoneticPr fontId="2" type="noConversion"/>
  </si>
  <si>
    <t>DHCP 설정된 IP 영역 자동 할당</t>
    <phoneticPr fontId="2" type="noConversion"/>
  </si>
  <si>
    <t>설정 주소를 통한 HMI 화면 제어</t>
    <phoneticPr fontId="2" type="noConversion"/>
  </si>
  <si>
    <t>설정 주소에 HMI 화면 번호 표시</t>
    <phoneticPr fontId="2" type="noConversion"/>
  </si>
  <si>
    <t>HMI 주소로 PLC 시간 주소 변경</t>
    <phoneticPr fontId="2" type="noConversion"/>
  </si>
  <si>
    <t>0:정상, 1:타임아웃 정상 표시</t>
    <phoneticPr fontId="2" type="noConversion"/>
  </si>
  <si>
    <t>통신 에러 PLC IP 주소 표시</t>
    <phoneticPr fontId="2" type="noConversion"/>
  </si>
  <si>
    <t>DB 뷰어에 PDF 내보내기 활성화</t>
    <phoneticPr fontId="2" type="noConversion"/>
  </si>
  <si>
    <t>설정 경로 DB 파일 생성</t>
    <phoneticPr fontId="2" type="noConversion"/>
  </si>
  <si>
    <t>DB 뷰어 PDF 내보내기 시, 결제란 추가</t>
    <phoneticPr fontId="2" type="noConversion"/>
  </si>
  <si>
    <t>쿼리 기능을 통한 외부 DB 데이터 조회</t>
    <phoneticPr fontId="2" type="noConversion"/>
  </si>
  <si>
    <t>쿼리 기능을 통한 외부 DB 데이터 삽입</t>
    <phoneticPr fontId="2" type="noConversion"/>
  </si>
  <si>
    <t>쿼리 기능을 통한 외부 DB 데이터 수정</t>
    <phoneticPr fontId="2" type="noConversion"/>
  </si>
  <si>
    <t>쿼리 기능을 통한 외부 DB 데이터 삭제</t>
    <phoneticPr fontId="2" type="noConversion"/>
  </si>
  <si>
    <t>폼 보고서 생성</t>
    <phoneticPr fontId="2" type="noConversion"/>
  </si>
  <si>
    <t>리스트 보고서 생성</t>
    <phoneticPr fontId="2" type="noConversion"/>
  </si>
  <si>
    <t>자유양식 보고서 생성</t>
    <phoneticPr fontId="2" type="noConversion"/>
  </si>
  <si>
    <t>데이터베이스 보고서 생성</t>
    <phoneticPr fontId="2" type="noConversion"/>
  </si>
  <si>
    <t>글로벌 잠금 옵션</t>
    <phoneticPr fontId="2" type="noConversion"/>
  </si>
  <si>
    <t>글로벌 터치 잠금 - 임시 비밀번호</t>
    <phoneticPr fontId="2" type="noConversion"/>
  </si>
  <si>
    <t>임시 비밀번호로 잠금 기능</t>
    <phoneticPr fontId="2" type="noConversion"/>
  </si>
  <si>
    <t>고정 비밀번호로 잠금 기능</t>
    <phoneticPr fontId="2" type="noConversion"/>
  </si>
  <si>
    <t>비트 값에 따른 글로벌 잠금 활성화</t>
    <phoneticPr fontId="2" type="noConversion"/>
  </si>
  <si>
    <t>터치 입력이 없는 시점으로부터 설정한 시간이 지나면 잠금</t>
    <phoneticPr fontId="2" type="noConversion"/>
  </si>
  <si>
    <t>PLC 터치 입력 사용 - 절대 좌표</t>
    <phoneticPr fontId="2" type="noConversion"/>
  </si>
  <si>
    <t>PLC 값에 따른 절대 좌표 입력</t>
    <phoneticPr fontId="2" type="noConversion"/>
  </si>
  <si>
    <t>스타일 변경 주소에 따른 스타일을 변경</t>
    <phoneticPr fontId="2" type="noConversion"/>
  </si>
  <si>
    <t>스플래시</t>
    <phoneticPr fontId="2" type="noConversion"/>
  </si>
  <si>
    <t>HMI 부팅 시 설정 이미지 표시</t>
    <phoneticPr fontId="2" type="noConversion"/>
  </si>
  <si>
    <t>프로젝트 스타일</t>
    <phoneticPr fontId="2" type="noConversion"/>
  </si>
  <si>
    <t>프로젝트 옵션</t>
    <phoneticPr fontId="2" type="noConversion"/>
  </si>
  <si>
    <t>프로젝트 설정</t>
    <phoneticPr fontId="2" type="noConversion"/>
  </si>
  <si>
    <t>설정 범위 SYS 주소 래치 활성화</t>
    <phoneticPr fontId="2" type="noConversion"/>
  </si>
  <si>
    <t>제어판</t>
    <phoneticPr fontId="2" type="noConversion"/>
  </si>
  <si>
    <t>카테고리</t>
    <phoneticPr fontId="2" type="noConversion"/>
  </si>
  <si>
    <t>테스트 케이스</t>
    <phoneticPr fontId="2" type="noConversion"/>
  </si>
  <si>
    <t>작업자</t>
    <phoneticPr fontId="2" type="noConversion"/>
  </si>
  <si>
    <t>통과율</t>
    <phoneticPr fontId="2" type="noConversion"/>
  </si>
  <si>
    <t>문자열, 다국어</t>
    <phoneticPr fontId="2" type="noConversion"/>
  </si>
  <si>
    <t>비고</t>
    <phoneticPr fontId="2" type="noConversion"/>
  </si>
  <si>
    <t>개선 필요</t>
  </si>
  <si>
    <t>완료 일자 :</t>
    <phoneticPr fontId="10" type="noConversion"/>
  </si>
  <si>
    <t>TDS 버전 :</t>
    <phoneticPr fontId="10" type="noConversion"/>
  </si>
  <si>
    <t>전송</t>
    <phoneticPr fontId="2" type="noConversion"/>
  </si>
  <si>
    <t>1. 문서 번호</t>
    <phoneticPr fontId="10" type="noConversion"/>
  </si>
  <si>
    <t>2. 작업자</t>
    <phoneticPr fontId="10" type="noConversion"/>
  </si>
  <si>
    <t>문서 번호</t>
    <phoneticPr fontId="10" type="noConversion"/>
  </si>
  <si>
    <t>경보</t>
    <phoneticPr fontId="10" type="noConversion"/>
  </si>
  <si>
    <t>로그</t>
    <phoneticPr fontId="10" type="noConversion"/>
  </si>
  <si>
    <t>레시피</t>
    <phoneticPr fontId="10" type="noConversion"/>
  </si>
  <si>
    <t>문자열, 다국어</t>
    <phoneticPr fontId="10" type="noConversion"/>
  </si>
  <si>
    <t>3. 테스트 모델</t>
    <phoneticPr fontId="10" type="noConversion"/>
  </si>
  <si>
    <t>정상 동작</t>
    <phoneticPr fontId="2" type="noConversion"/>
  </si>
  <si>
    <t>이상 발견</t>
    <phoneticPr fontId="10" type="noConversion"/>
  </si>
  <si>
    <t>개선 필요</t>
    <phoneticPr fontId="10" type="noConversion"/>
  </si>
  <si>
    <t>담당 부서</t>
    <phoneticPr fontId="10" type="noConversion"/>
  </si>
  <si>
    <t>합 계</t>
  </si>
  <si>
    <t>4. 테스트 결과 요약</t>
    <phoneticPr fontId="10" type="noConversion"/>
  </si>
  <si>
    <t>5. 검토</t>
    <phoneticPr fontId="10" type="noConversion"/>
  </si>
  <si>
    <t>No</t>
    <phoneticPr fontId="2" type="noConversion"/>
  </si>
  <si>
    <t>HMI</t>
    <phoneticPr fontId="2" type="noConversion"/>
  </si>
  <si>
    <t>PLC</t>
    <phoneticPr fontId="2" type="noConversion"/>
  </si>
  <si>
    <t>TOPRX0800S</t>
    <phoneticPr fontId="2" type="noConversion"/>
  </si>
  <si>
    <t>Siemens S7-1500</t>
    <phoneticPr fontId="2" type="noConversion"/>
  </si>
  <si>
    <t>Mitsubishi Q</t>
    <phoneticPr fontId="2" type="noConversion"/>
  </si>
  <si>
    <t>배포 일정</t>
    <phoneticPr fontId="10" type="noConversion"/>
  </si>
  <si>
    <t>테스트 결과
(정상 동작)</t>
    <phoneticPr fontId="2" type="noConversion"/>
  </si>
  <si>
    <t>테스트 결과
(이상 발견)</t>
    <phoneticPr fontId="2" type="noConversion"/>
  </si>
  <si>
    <t>테스트 결과
(개선 필요)</t>
    <phoneticPr fontId="2" type="noConversion"/>
  </si>
  <si>
    <t>완료율</t>
    <phoneticPr fontId="2" type="noConversion"/>
  </si>
  <si>
    <t>특수 주소 - ETH1_CABLE_STATUS</t>
    <phoneticPr fontId="2" type="noConversion"/>
  </si>
  <si>
    <t>항목</t>
    <phoneticPr fontId="2" type="noConversion"/>
  </si>
  <si>
    <t>작성 방법</t>
    <phoneticPr fontId="2" type="noConversion"/>
  </si>
  <si>
    <t>소프트웨어 테스트 작성가이드</t>
    <phoneticPr fontId="10" type="noConversion"/>
  </si>
  <si>
    <t>표지</t>
    <phoneticPr fontId="2" type="noConversion"/>
  </si>
  <si>
    <t>각 시트</t>
    <phoneticPr fontId="2" type="noConversion"/>
  </si>
  <si>
    <t>2번 작업자 부분만 작성</t>
    <phoneticPr fontId="2" type="noConversion"/>
  </si>
  <si>
    <t>PLC / TOP-VIEW</t>
    <phoneticPr fontId="2" type="noConversion"/>
  </si>
  <si>
    <t>6층 테스트 환경이 구성된 상태에서만 테스트 가능</t>
    <phoneticPr fontId="2" type="noConversion"/>
  </si>
  <si>
    <t>내부 주소로 구성된 테스트 작화로 테스트 진행</t>
    <phoneticPr fontId="2" type="noConversion"/>
  </si>
  <si>
    <t>PLC로 구성된 테스트 작화로 테스트 진행 (테스트 PLC는 작업자에게 전달)</t>
    <phoneticPr fontId="2" type="noConversion"/>
  </si>
  <si>
    <t>개요 : 현장에서 사용하는 환경 구성이 아닌 단순히 각 기능들이 정상 동작하는지 검증하는 최소한의 단계로 상정하고 설계</t>
    <phoneticPr fontId="2" type="noConversion"/>
  </si>
  <si>
    <t>N:N 통신</t>
    <phoneticPr fontId="2" type="noConversion"/>
  </si>
  <si>
    <t>TDS 소프트웨어 테스트 문서</t>
    <phoneticPr fontId="2" type="noConversion"/>
  </si>
  <si>
    <t>→ PLC 통신이 중요하지 않은 항목은 내부 주소로 테스트 작화 구성</t>
    <phoneticPr fontId="2" type="noConversion"/>
  </si>
  <si>
    <t>RS232 시리얼 통신</t>
    <phoneticPr fontId="2" type="noConversion"/>
  </si>
  <si>
    <t>PLC 통신 정상</t>
    <phoneticPr fontId="2" type="noConversion"/>
  </si>
  <si>
    <t>MBUS 서버 HMI 통신 정상</t>
    <phoneticPr fontId="2" type="noConversion"/>
  </si>
  <si>
    <t>MBUS 클라이언트 HMI 통신 정상</t>
    <phoneticPr fontId="2" type="noConversion"/>
  </si>
  <si>
    <t>MBUS 서버 통신</t>
    <phoneticPr fontId="2" type="noConversion"/>
  </si>
  <si>
    <t>PLC 래더 동작에 의한 비트 램프 순차 동작</t>
    <phoneticPr fontId="2" type="noConversion"/>
  </si>
  <si>
    <t>HMI 스크립트에 의한 워드 데이터 쓰기 동작 정상</t>
    <phoneticPr fontId="2" type="noConversion"/>
  </si>
  <si>
    <t>N:N 통신 구성</t>
    <phoneticPr fontId="2" type="noConversion"/>
  </si>
  <si>
    <t>MBUS 비트 램프 동작</t>
    <phoneticPr fontId="2" type="noConversion"/>
  </si>
  <si>
    <t>MBUS 모멘터리 스위치 동작</t>
    <phoneticPr fontId="2" type="noConversion"/>
  </si>
  <si>
    <t>모멘터리 스위치 동작 시, 워드 데이터 읽기 동작 정상</t>
    <phoneticPr fontId="2" type="noConversion"/>
  </si>
  <si>
    <t>이더넷
Mitsubishi PLC</t>
    <phoneticPr fontId="2" type="noConversion"/>
  </si>
  <si>
    <t>시리얼
MBUS(XGB PLC)</t>
    <phoneticPr fontId="2" type="noConversion"/>
  </si>
  <si>
    <t>변수 기반 PLC 모멘터리 스위치</t>
    <phoneticPr fontId="2" type="noConversion"/>
  </si>
  <si>
    <t>주소 기반 PLC Float 데이터 통신</t>
    <phoneticPr fontId="2" type="noConversion"/>
  </si>
  <si>
    <t>주소 기반 PLC 비트 램프 통신</t>
    <phoneticPr fontId="2" type="noConversion"/>
  </si>
  <si>
    <t>주소 기반 PLC 모멘터리 스위치</t>
    <phoneticPr fontId="2" type="noConversion"/>
  </si>
  <si>
    <t>주소 기반 PLC Ascii 데이터 통신</t>
    <phoneticPr fontId="2" type="noConversion"/>
  </si>
  <si>
    <t>주소 기반 PLC Ascii 멀티라인 표시</t>
    <phoneticPr fontId="2" type="noConversion"/>
  </si>
  <si>
    <t>주소 기반 PLC Word 데이터 통신</t>
    <phoneticPr fontId="2" type="noConversion"/>
  </si>
  <si>
    <t>HMI 스크립트에 의한 Word 데이터 쓰기 동작 정상</t>
    <phoneticPr fontId="2" type="noConversion"/>
  </si>
  <si>
    <t>HMI 스크립트에 의한 Float 데이터 쓰기 동작 정상</t>
    <phoneticPr fontId="2" type="noConversion"/>
  </si>
  <si>
    <t>HMI 스크립트에 의한 Ascii 데이터 쓰기 동작 정상</t>
    <phoneticPr fontId="2" type="noConversion"/>
  </si>
  <si>
    <t>Ascii 데이터 멀티라인 정상 표시</t>
    <phoneticPr fontId="2" type="noConversion"/>
  </si>
  <si>
    <t>MBUS 클라이언트 통신</t>
    <phoneticPr fontId="2" type="noConversion"/>
  </si>
  <si>
    <t>MBUS Word 데이터 통신</t>
    <phoneticPr fontId="2" type="noConversion"/>
  </si>
  <si>
    <t>이더넷
Siemens PLC</t>
    <phoneticPr fontId="2" type="noConversion"/>
  </si>
  <si>
    <t>프로젝트 설정 - PLC 버퍼 동기화 읽기 동작</t>
    <phoneticPr fontId="2" type="noConversion"/>
  </si>
  <si>
    <t>프로젝트 설정 - PLC 버퍼 동기화 쓰기 동작</t>
    <phoneticPr fontId="2" type="noConversion"/>
  </si>
  <si>
    <t>연속된 PLC Word 데이터 읽기 정상</t>
    <phoneticPr fontId="2" type="noConversion"/>
  </si>
  <si>
    <t>연속된 내부 주소 Word 데이터 쓰기 정상</t>
    <phoneticPr fontId="2" type="noConversion"/>
  </si>
  <si>
    <t>시리얼 PLC 심볼 + 통신 블록 통신</t>
    <phoneticPr fontId="2" type="noConversion"/>
  </si>
  <si>
    <t>통신 블록에 설정한 주기로 PLC 데이터 통신 정상</t>
    <phoneticPr fontId="2" type="noConversion"/>
  </si>
  <si>
    <t>주소 기반 PLC 심볼 + 통신 블록 통신</t>
    <phoneticPr fontId="2" type="noConversion"/>
  </si>
  <si>
    <t>변수 기반 PLC 심볼 + 통신 블록 통신</t>
    <phoneticPr fontId="2" type="noConversion"/>
  </si>
  <si>
    <t>변수 기반 PLC 배열 심볼 + 통신 블록 통신</t>
    <phoneticPr fontId="2" type="noConversion"/>
  </si>
  <si>
    <t>변수 기반 PLC Int 데이터 통신</t>
    <phoneticPr fontId="2" type="noConversion"/>
  </si>
  <si>
    <t>변수 기반 PLC Real 데이터 통신</t>
    <phoneticPr fontId="2" type="noConversion"/>
  </si>
  <si>
    <t>변수 기반 PLC String 데이터 통신</t>
    <phoneticPr fontId="2" type="noConversion"/>
  </si>
  <si>
    <t>변수 기반 PLC 배열 Int 데이터 통신</t>
    <phoneticPr fontId="2" type="noConversion"/>
  </si>
  <si>
    <t>변수 기반 PLC 배열 Real 데이터 통신</t>
    <phoneticPr fontId="2" type="noConversion"/>
  </si>
  <si>
    <t>변수 기반 PLC 배열 String 데이터 통신</t>
    <phoneticPr fontId="2" type="noConversion"/>
  </si>
  <si>
    <t>특수 주소 - COMM_SERIAL_STATUS</t>
    <phoneticPr fontId="2" type="noConversion"/>
  </si>
  <si>
    <t>특수 기능 - PLC Enable (Serial PLC)</t>
    <phoneticPr fontId="2" type="noConversion"/>
  </si>
  <si>
    <t>특수 기능 - PLC Disable (Serial PLC)</t>
    <phoneticPr fontId="2" type="noConversion"/>
  </si>
  <si>
    <t>Serial PLC 활성화</t>
    <phoneticPr fontId="2" type="noConversion"/>
  </si>
  <si>
    <t>Serial PLC 비활성화</t>
    <phoneticPr fontId="2" type="noConversion"/>
  </si>
  <si>
    <t>특수 기능 - PLC Enable (Mitsubishi PLC)</t>
    <phoneticPr fontId="2" type="noConversion"/>
  </si>
  <si>
    <t>스크립트 함수 - IsTimeoutPLC (Serial PLC)</t>
    <phoneticPr fontId="2" type="noConversion"/>
  </si>
  <si>
    <t>특수 기능 - PLC Disable (Mitsubishi PLC)</t>
    <phoneticPr fontId="2" type="noConversion"/>
  </si>
  <si>
    <t>스크립트 함수 - IsTimeoutPLC (Mitsubishi PLC)</t>
    <phoneticPr fontId="2" type="noConversion"/>
  </si>
  <si>
    <t>Mitsubishi PLC 활성화</t>
    <phoneticPr fontId="2" type="noConversion"/>
  </si>
  <si>
    <t>Mitsubishi PLC 비활성화</t>
    <phoneticPr fontId="2" type="noConversion"/>
  </si>
  <si>
    <t>특수 기능 - PLC Enable (Siemens PLC)</t>
    <phoneticPr fontId="2" type="noConversion"/>
  </si>
  <si>
    <t>Siemens PLC 활성화</t>
    <phoneticPr fontId="2" type="noConversion"/>
  </si>
  <si>
    <t>특수 기능 - PLC Disable (Siemens PLC)</t>
    <phoneticPr fontId="2" type="noConversion"/>
  </si>
  <si>
    <t>Siemens PLC 비활성화</t>
    <phoneticPr fontId="2" type="noConversion"/>
  </si>
  <si>
    <t>스크립트 함수 - IsTimeoutPLC (Siemens PLC)</t>
    <phoneticPr fontId="2" type="noConversion"/>
  </si>
  <si>
    <t>변수 기반 PLC 비트 램프 통신</t>
    <phoneticPr fontId="2" type="noConversion"/>
  </si>
  <si>
    <t>변수 기반 PLC 배열 비트 램프 통신</t>
    <phoneticPr fontId="2" type="noConversion"/>
  </si>
  <si>
    <t>변수 기반 PLC 배열 모멘터리 스위치</t>
    <phoneticPr fontId="2" type="noConversion"/>
  </si>
  <si>
    <t>TOPRT1550W, TOPRX0800S</t>
    <phoneticPr fontId="2" type="noConversion"/>
  </si>
  <si>
    <t>데이터베이스 - 완료 비트</t>
    <phoneticPr fontId="2" type="noConversion"/>
  </si>
  <si>
    <t>데이터베이스 - 실행 결과</t>
    <phoneticPr fontId="2" type="noConversion"/>
  </si>
  <si>
    <t>데이터베이스 - GlobalLog - 테이블</t>
    <phoneticPr fontId="2" type="noConversion"/>
  </si>
  <si>
    <t>데이터베이스 - GlobalLog - 쿼리</t>
    <phoneticPr fontId="2" type="noConversion"/>
  </si>
  <si>
    <t>데이터베이스 - GlobalAlarm - 테이블</t>
    <phoneticPr fontId="2" type="noConversion"/>
  </si>
  <si>
    <t>데이터베이스 - GlobalAlarm - 쿼리</t>
    <phoneticPr fontId="2" type="noConversion"/>
  </si>
  <si>
    <t>데이터베이스 테이블 오브젝트 - 키 - Search</t>
  </si>
  <si>
    <t>데이터베이스 테이블 오브젝트 - 키 - Add</t>
  </si>
  <si>
    <t>데이터베이스 테이블 오브젝트 - 키 - Modify</t>
  </si>
  <si>
    <t>데이터베이스 테이블 오브젝트 - 키 - Delete</t>
  </si>
  <si>
    <t>데이터베이스 테이블 오브젝트 - 키 - Export</t>
  </si>
  <si>
    <t>외부 DB</t>
    <phoneticPr fontId="2" type="noConversion"/>
  </si>
  <si>
    <t>내부 DB</t>
    <phoneticPr fontId="2" type="noConversion"/>
  </si>
  <si>
    <t>테이블 기능을 통한 로그 테이블 조회</t>
    <phoneticPr fontId="2" type="noConversion"/>
  </si>
  <si>
    <t>쿼리 기능을 통한 로그 평균값 조회</t>
    <phoneticPr fontId="2" type="noConversion"/>
  </si>
  <si>
    <t>테이블 기능을 통한 경보 테이블 조회</t>
  </si>
  <si>
    <t>쿼리 기능을 통한 경보 평균값 조회</t>
  </si>
  <si>
    <t>외부 DB 테이블 조회</t>
    <phoneticPr fontId="2" type="noConversion"/>
  </si>
  <si>
    <t>외부 DB 테이블 데이터 삽입</t>
    <phoneticPr fontId="2" type="noConversion"/>
  </si>
  <si>
    <t>외부 DB 테이블 데이터 수정</t>
    <phoneticPr fontId="2" type="noConversion"/>
  </si>
  <si>
    <t>외부 DB 테이블 데이터 삭제</t>
    <phoneticPr fontId="2" type="noConversion"/>
  </si>
  <si>
    <t>DB 동작 성공 시 설정 비트 ON</t>
    <phoneticPr fontId="2" type="noConversion"/>
  </si>
  <si>
    <t>DB 동작 성공 시 설정 워드 값 1</t>
    <phoneticPr fontId="2" type="noConversion"/>
  </si>
  <si>
    <t>TOP-VIEW를 통한 외부 DB 데이터 조회</t>
    <phoneticPr fontId="2" type="noConversion"/>
  </si>
  <si>
    <t>HMI - 교환 서버 - 조회</t>
    <phoneticPr fontId="2" type="noConversion"/>
  </si>
  <si>
    <t>HMI - 교환 서버 - 삽입</t>
    <phoneticPr fontId="2" type="noConversion"/>
  </si>
  <si>
    <t>HMI - 교환 서버 - 수정</t>
    <phoneticPr fontId="2" type="noConversion"/>
  </si>
  <si>
    <t>HMI - 교환 서버 - 삭제</t>
    <phoneticPr fontId="2" type="noConversion"/>
  </si>
  <si>
    <t>TOP-VIEW를 통한 외부 DB 데이터 삽입</t>
    <phoneticPr fontId="2" type="noConversion"/>
  </si>
  <si>
    <t>TOP-VIEW를 통한 외부 DB 데이터 수정</t>
    <phoneticPr fontId="2" type="noConversion"/>
  </si>
  <si>
    <t>TOP-VIEW를 통한 외부 DB 데이터 삭제</t>
    <phoneticPr fontId="2" type="noConversion"/>
  </si>
  <si>
    <t>OPC UA Word 데이터 통신</t>
    <phoneticPr fontId="2" type="noConversion"/>
  </si>
  <si>
    <t>OPC UA Bit 데이터 통신</t>
    <phoneticPr fontId="2" type="noConversion"/>
  </si>
  <si>
    <t>OPC UA Ascii 데이터 통신</t>
    <phoneticPr fontId="2" type="noConversion"/>
  </si>
  <si>
    <t>특수 기능 - Report Viwer Call</t>
    <phoneticPr fontId="2" type="noConversion"/>
  </si>
  <si>
    <t>특수 기능 - DB Log Analyze Call</t>
    <phoneticPr fontId="2" type="noConversion"/>
  </si>
  <si>
    <t>특수 기능 - DB Viewer Call</t>
    <phoneticPr fontId="2" type="noConversion"/>
  </si>
  <si>
    <t>특수 기능 - Backup DB Viewer Call</t>
    <phoneticPr fontId="2" type="noConversion"/>
  </si>
  <si>
    <t>특수 기능 - Execution Program</t>
    <phoneticPr fontId="2" type="noConversion"/>
  </si>
  <si>
    <t>특수 기능 - Text To Speech</t>
    <phoneticPr fontId="2" type="noConversion"/>
  </si>
  <si>
    <t>특수 기능 - Window Full Screen</t>
    <phoneticPr fontId="2" type="noConversion"/>
  </si>
  <si>
    <t>특수 기능 - Window Minimize</t>
    <phoneticPr fontId="2" type="noConversion"/>
  </si>
  <si>
    <t>특수 기능 - Topview Close</t>
    <phoneticPr fontId="2" type="noConversion"/>
  </si>
  <si>
    <t>스크립트 함수 - Backup Global DB - Security</t>
    <phoneticPr fontId="2" type="noConversion"/>
  </si>
  <si>
    <t>스크립트 함수 - Backup Global DB - All</t>
    <phoneticPr fontId="2" type="noConversion"/>
  </si>
  <si>
    <t>스크립트 함수 - Backup Global DB - Log</t>
    <phoneticPr fontId="2" type="noConversion"/>
  </si>
  <si>
    <t>스크립트 함수 - Backup Global DB - Alarm</t>
    <phoneticPr fontId="2" type="noConversion"/>
  </si>
  <si>
    <t>스크립트 함수 - Execute File</t>
    <phoneticPr fontId="2" type="noConversion"/>
  </si>
  <si>
    <t>리포트 뷰어 호출</t>
    <phoneticPr fontId="2" type="noConversion"/>
  </si>
  <si>
    <t>DB 로그 아날라이저 호출</t>
    <phoneticPr fontId="2" type="noConversion"/>
  </si>
  <si>
    <t>DB 뷰어 호출</t>
    <phoneticPr fontId="2" type="noConversion"/>
  </si>
  <si>
    <t>백업 DB 뷰어 호출</t>
    <phoneticPr fontId="2" type="noConversion"/>
  </si>
  <si>
    <t>설정된 텍스트 음성으로 변환</t>
    <phoneticPr fontId="2" type="noConversion"/>
  </si>
  <si>
    <t>TOP-VIEW 전체화면으로 전환</t>
    <phoneticPr fontId="2" type="noConversion"/>
  </si>
  <si>
    <t>TOP-VIEW 화면 최소화</t>
    <phoneticPr fontId="2" type="noConversion"/>
  </si>
  <si>
    <t>TOP-VIEW 종료</t>
    <phoneticPr fontId="2" type="noConversion"/>
  </si>
  <si>
    <t>설정 경로에 내부 DB 전체 백업</t>
    <phoneticPr fontId="2" type="noConversion"/>
  </si>
  <si>
    <t>설정 경로에 내부 DB 로그 백업</t>
    <phoneticPr fontId="2" type="noConversion"/>
  </si>
  <si>
    <t>설정 경로에 내부 DB 경보 백업</t>
    <phoneticPr fontId="2" type="noConversion"/>
  </si>
  <si>
    <t>설정 경로에 내부 DB 보안 로그 백업</t>
    <phoneticPr fontId="2" type="noConversion"/>
  </si>
  <si>
    <t>설정된 프로그램 실행</t>
    <phoneticPr fontId="2" type="noConversion"/>
  </si>
  <si>
    <t>OPC UA Float 데이터 통신</t>
    <phoneticPr fontId="2" type="noConversion"/>
  </si>
  <si>
    <t>OPC UA Word 배열 데이터 통신</t>
  </si>
  <si>
    <t>OPC UA Float 배열 데이터 통신</t>
  </si>
  <si>
    <t>OPC UA Ascii 배열 데이터 통신</t>
  </si>
  <si>
    <t>#22815</t>
    <phoneticPr fontId="2" type="noConversion"/>
  </si>
  <si>
    <t>M0 경보 클릭 시, 화면 이동</t>
    <phoneticPr fontId="2" type="noConversion"/>
  </si>
  <si>
    <t>M1 경보 클릭 시, 윈도우 화면 호출</t>
    <phoneticPr fontId="2" type="noConversion"/>
  </si>
  <si>
    <t>M2 경보 클릭 시, 이미지 호출</t>
    <phoneticPr fontId="2" type="noConversion"/>
  </si>
  <si>
    <t>M3 경보 클릭 시, 텍스트 호출</t>
    <phoneticPr fontId="2" type="noConversion"/>
  </si>
  <si>
    <t>M4 경보 클릭 시, PDF 호출</t>
    <phoneticPr fontId="2" type="noConversion"/>
  </si>
  <si>
    <t>M5 경보 클릭 시, PDF 설정 페이지 호출</t>
    <phoneticPr fontId="2" type="noConversion"/>
  </si>
  <si>
    <t>M6 경보 클릭 시, PDF 설정 키워드 호출</t>
    <phoneticPr fontId="2" type="noConversion"/>
  </si>
  <si>
    <t>M7 경보 클릭 시, PDF 설정 페이지의 키워드 호출</t>
    <phoneticPr fontId="2" type="noConversion"/>
  </si>
  <si>
    <t>M1 경보 조치 사항 실행 후, 동작 복귀</t>
    <phoneticPr fontId="2" type="noConversion"/>
  </si>
  <si>
    <t>M0 경보 발생 시, 해당 조치사항 번호 저장</t>
    <phoneticPr fontId="2" type="noConversion"/>
  </si>
  <si>
    <t>M1 조치 사항 동작 시, 해당 조치사항 번호 저장</t>
    <phoneticPr fontId="2" type="noConversion"/>
  </si>
  <si>
    <t>비트 조건 경보 발생</t>
    <phoneticPr fontId="2" type="noConversion"/>
  </si>
  <si>
    <t>워드 조건 경보 발생</t>
    <phoneticPr fontId="2" type="noConversion"/>
  </si>
  <si>
    <t>비트 경보 해제 시, 1Cycle 표시</t>
    <phoneticPr fontId="2" type="noConversion"/>
  </si>
  <si>
    <t>워드 경보 발생 시, 워드 데이터 표시</t>
    <phoneticPr fontId="2" type="noConversion"/>
  </si>
  <si>
    <t>워드 경보그룹 조건 만족 시에만 경보 동작 (Alarm ON 버튼)</t>
    <phoneticPr fontId="2" type="noConversion"/>
  </si>
  <si>
    <t>워드 경보 선택 시, 동작 실행 (워드값 = 0)</t>
    <phoneticPr fontId="2" type="noConversion"/>
  </si>
  <si>
    <t>M0F 경보 발생 시, 동작 실행 (1Cycle++)</t>
    <phoneticPr fontId="2" type="noConversion"/>
  </si>
  <si>
    <t>워드 현재 경보 발생 건수 저장</t>
    <phoneticPr fontId="2" type="noConversion"/>
  </si>
  <si>
    <t>특수 기능 - Alarm CSV Export - Internel Memory</t>
    <phoneticPr fontId="2" type="noConversion"/>
  </si>
  <si>
    <t>특수 기능 - Alarm CSV Export - SD Cartd</t>
  </si>
  <si>
    <t>특수 기능 - Alarm CSV Export - USB</t>
  </si>
  <si>
    <t>특수 기능 - Storage - SD Update</t>
    <phoneticPr fontId="2" type="noConversion"/>
  </si>
  <si>
    <t>특수 기능 - Alarm Clear</t>
    <phoneticPr fontId="2" type="noConversion"/>
  </si>
  <si>
    <t>USB - Global Data - Alarm Upload</t>
    <phoneticPr fontId="2" type="noConversion"/>
  </si>
  <si>
    <t>로그 조건 - 인터벌 동작 (비순차)</t>
    <phoneticPr fontId="2" type="noConversion"/>
  </si>
  <si>
    <t>조건 만족 시, 로그 데이터 2개 생성</t>
    <phoneticPr fontId="2" type="noConversion"/>
  </si>
  <si>
    <t>인터벌 1초 조건으로 로그 데이터 생성</t>
    <phoneticPr fontId="2" type="noConversion"/>
  </si>
  <si>
    <t>로그 조건 - 기록 개수 설정 (심볼)</t>
    <phoneticPr fontId="2" type="noConversion"/>
  </si>
  <si>
    <t>로그 - 조건 만족 시에만 통신 (심볼)</t>
    <phoneticPr fontId="2" type="noConversion"/>
  </si>
  <si>
    <t>로그 백업 설정 - SD 카드 - 오래된 파일 삭제 단위 (30%)</t>
    <phoneticPr fontId="2" type="noConversion"/>
  </si>
  <si>
    <t>로그 백업 - 백업 조건 사용 (심볼)</t>
    <phoneticPr fontId="2" type="noConversion"/>
  </si>
  <si>
    <t>로그 백업 - 로그 파일명 변경시 백업 (비순차)</t>
    <phoneticPr fontId="2" type="noConversion"/>
  </si>
  <si>
    <t>특수 기능 - Log Clear</t>
    <phoneticPr fontId="2" type="noConversion"/>
  </si>
  <si>
    <t>USB - Global Data - Log Upload</t>
    <phoneticPr fontId="2" type="noConversion"/>
  </si>
  <si>
    <t>특수 기능 - Logging CSV Export - Internel Memory</t>
  </si>
  <si>
    <t>특수 기능 - Logging CSV Export - SD Cartd</t>
  </si>
  <si>
    <t>특수 기능 - Logging CSV Export - USB</t>
  </si>
  <si>
    <t>특수 기능 - Storage - SD Update</t>
  </si>
  <si>
    <t>로그 백업 - 로그 파일명 변경시 백업 - 분할 저장</t>
    <phoneticPr fontId="2" type="noConversion"/>
  </si>
  <si>
    <t>날짜 변경 시, SD 카드 백업</t>
    <phoneticPr fontId="2" type="noConversion"/>
  </si>
  <si>
    <t>백업 조건 만족 시, SD 카드 백업</t>
    <phoneticPr fontId="2" type="noConversion"/>
  </si>
  <si>
    <t>분잘 저장 데이터 변경 시, SD 카드 백업</t>
    <phoneticPr fontId="2" type="noConversion"/>
  </si>
  <si>
    <t>eMMC 메모리에 로그 백업 (데이터 유지)</t>
    <phoneticPr fontId="2" type="noConversion"/>
  </si>
  <si>
    <t>SD 카드에 로그 백업 (데이터 유지)</t>
    <phoneticPr fontId="2" type="noConversion"/>
  </si>
  <si>
    <t>USB 메모리에 로그 백업 (데이터 유지)</t>
    <phoneticPr fontId="2" type="noConversion"/>
  </si>
  <si>
    <t>데이터셋 - 갱신</t>
    <phoneticPr fontId="2" type="noConversion"/>
  </si>
  <si>
    <t>갱신 날짜 시간 기준 로그 개수 조회</t>
    <phoneticPr fontId="2" type="noConversion"/>
  </si>
  <si>
    <t>특수 기능 - Recipe Editor Call</t>
    <phoneticPr fontId="2" type="noConversion"/>
  </si>
  <si>
    <t>레코드</t>
    <phoneticPr fontId="2" type="noConversion"/>
  </si>
  <si>
    <t>로그 뷰 오브젝트 - 키 - File</t>
    <phoneticPr fontId="2" type="noConversion"/>
  </si>
  <si>
    <t>로그 뷰 오브젝트 - 키 - Data Search</t>
    <phoneticPr fontId="2" type="noConversion"/>
  </si>
  <si>
    <t>레코드 동작</t>
    <phoneticPr fontId="2" type="noConversion"/>
  </si>
  <si>
    <t>레코드 데이터 생성</t>
    <phoneticPr fontId="2" type="noConversion"/>
  </si>
  <si>
    <t>로그 만족 시, 레코드 데이터 생성</t>
    <phoneticPr fontId="2" type="noConversion"/>
  </si>
  <si>
    <t>레코드 - 보임 조건</t>
    <phoneticPr fontId="2" type="noConversion"/>
  </si>
  <si>
    <t>보임 조건 만족 시, 레코드 데이터 표시</t>
    <phoneticPr fontId="2" type="noConversion"/>
  </si>
  <si>
    <t>X축 확대 배율 표시</t>
    <phoneticPr fontId="2" type="noConversion"/>
  </si>
  <si>
    <t>X축 확대 배율 정상 표시</t>
    <phoneticPr fontId="2" type="noConversion"/>
  </si>
  <si>
    <t>Y축 확대 배율 정상 표시</t>
    <phoneticPr fontId="2" type="noConversion"/>
  </si>
  <si>
    <t>레코드 뷰 오브젝트</t>
    <phoneticPr fontId="2" type="noConversion"/>
  </si>
  <si>
    <t>레코드 뷰 오브젝트 - 키 - Cursor</t>
    <phoneticPr fontId="2" type="noConversion"/>
  </si>
  <si>
    <t>커서 표시/숨김 처리 및 커서 데이터 조회</t>
    <phoneticPr fontId="2" type="noConversion"/>
  </si>
  <si>
    <t>레코드 뷰 오브젝트 - 키 - Action</t>
    <phoneticPr fontId="2" type="noConversion"/>
  </si>
  <si>
    <t>정지된 그래프로 부터 실시간 데이터 조회</t>
    <phoneticPr fontId="2" type="noConversion"/>
  </si>
  <si>
    <t>레코드 뷰 오브젝트 - 키 - File</t>
    <phoneticPr fontId="2" type="noConversion"/>
  </si>
  <si>
    <t>레코드 뷰 오브젝트 - 키 - Data Search</t>
    <phoneticPr fontId="2" type="noConversion"/>
  </si>
  <si>
    <t>레코드 뷰 오브젝트 - 키 - X-Zoom In</t>
    <phoneticPr fontId="2" type="noConversion"/>
  </si>
  <si>
    <t>X축을 커서를 기준으로 확대</t>
    <phoneticPr fontId="2" type="noConversion"/>
  </si>
  <si>
    <t>레코드 뷰 오브젝트 - 키 - X-Zoom Out</t>
    <phoneticPr fontId="2" type="noConversion"/>
  </si>
  <si>
    <t>X축을 커서를 기준으로 축소</t>
    <phoneticPr fontId="2" type="noConversion"/>
  </si>
  <si>
    <t>레코드 뷰 오브젝트 - 키 - Y-Zoom In</t>
    <phoneticPr fontId="2" type="noConversion"/>
  </si>
  <si>
    <t>Y축을 커서를 기준으로 확대</t>
    <phoneticPr fontId="2" type="noConversion"/>
  </si>
  <si>
    <t>레코드 뷰 오브젝트 - 키 - Y-Zoom Out</t>
    <phoneticPr fontId="2" type="noConversion"/>
  </si>
  <si>
    <t>Y축을 커서를 기준으로 축소</t>
    <phoneticPr fontId="2" type="noConversion"/>
  </si>
  <si>
    <t>레코드 뷰 오브젝트 - 키 - Zoom Reset</t>
    <phoneticPr fontId="2" type="noConversion"/>
  </si>
  <si>
    <t>확대/축소한 그래프를 원상태로 초기화</t>
    <phoneticPr fontId="2" type="noConversion"/>
  </si>
  <si>
    <t>레코드 뷰 오브젝트 - 키 - Zoom Stretch</t>
    <phoneticPr fontId="2" type="noConversion"/>
  </si>
  <si>
    <t>확대/축소된 그래프를 전체 화면으로 변경</t>
    <phoneticPr fontId="2" type="noConversion"/>
  </si>
  <si>
    <t>레코드 뷰 오브젝트 - 키 - Y-View Up</t>
    <phoneticPr fontId="2" type="noConversion"/>
  </si>
  <si>
    <t>Y축을 위로 이동</t>
    <phoneticPr fontId="2" type="noConversion"/>
  </si>
  <si>
    <t>레코드 뷰 오브젝트 - 키 - Y-View Down</t>
    <phoneticPr fontId="2" type="noConversion"/>
  </si>
  <si>
    <t>Y축을 아래로 이동</t>
    <phoneticPr fontId="2" type="noConversion"/>
  </si>
  <si>
    <t>레코드 뷰 오브젝트 - 키 - Page Jump</t>
    <phoneticPr fontId="2" type="noConversion"/>
  </si>
  <si>
    <t>선택한 페이지 데이터 조회</t>
    <phoneticPr fontId="2" type="noConversion"/>
  </si>
  <si>
    <t>메시지 뷰 - 비트 - 직접 입력</t>
    <phoneticPr fontId="2" type="noConversion"/>
  </si>
  <si>
    <t>메시지 뷰 - 워드 - 직접 입력</t>
  </si>
  <si>
    <t>메시지 뷰 - 워드 - 문자열 테이블</t>
  </si>
  <si>
    <t>경보 / 로그 / 레시피 / 문자열, 다국어</t>
    <phoneticPr fontId="2" type="noConversion"/>
  </si>
  <si>
    <t>메시지 뷰 - 비트 - ON 주소 읽기</t>
    <phoneticPr fontId="2" type="noConversion"/>
  </si>
  <si>
    <t>메시지 뷰 - 비트 - OFF 주소 읽기</t>
    <phoneticPr fontId="2" type="noConversion"/>
  </si>
  <si>
    <t>메시지 뷰 - 워드 - ON 주소 읽기</t>
    <phoneticPr fontId="2" type="noConversion"/>
  </si>
  <si>
    <t>메시지 뷰 - 워드 - OFF 주소 읽기</t>
    <phoneticPr fontId="2" type="noConversion"/>
  </si>
  <si>
    <t>ipTIME ↔ 허브 ↔ HMI(MBUS Server) ↔ HMI(MBUS Clinet)
EtherNet PLC(Siemens S7-1500, Mitsubishi Q) + Serial PLC(LS XBC)</t>
    <phoneticPr fontId="2" type="noConversion"/>
  </si>
  <si>
    <t>프로젝트 비밀번호 사용 (12Ab)</t>
    <phoneticPr fontId="2" type="noConversion"/>
  </si>
  <si>
    <t>글로벌 잠금 - 자동 잠금 시간 사용 (1분)</t>
    <phoneticPr fontId="2" type="noConversion"/>
  </si>
  <si>
    <t>메시지</t>
    <phoneticPr fontId="2" type="noConversion"/>
  </si>
  <si>
    <t>문자</t>
    <phoneticPr fontId="2" type="noConversion"/>
  </si>
  <si>
    <t>이메일</t>
    <phoneticPr fontId="2" type="noConversion"/>
  </si>
  <si>
    <t>SOLAPI 사이트 연동 문자 발송</t>
    <phoneticPr fontId="2" type="noConversion"/>
  </si>
  <si>
    <t>설정 이메일 발송</t>
    <phoneticPr fontId="2" type="noConversion"/>
  </si>
  <si>
    <t>TOPRT1550W</t>
    <phoneticPr fontId="2" type="noConversion"/>
  </si>
  <si>
    <t>TOPRT1550W, TOP-VIEW</t>
    <phoneticPr fontId="2" type="noConversion"/>
  </si>
  <si>
    <t>#22928</t>
    <phoneticPr fontId="2" type="noConversion"/>
  </si>
  <si>
    <t>OPC UA
클라이언트 → 서버</t>
    <phoneticPr fontId="2" type="noConversion"/>
  </si>
  <si>
    <r>
      <t xml:space="preserve">OPC UA
서버 </t>
    </r>
    <r>
      <rPr>
        <sz val="11"/>
        <color theme="1"/>
        <rFont val="맑은 고딕"/>
        <family val="3"/>
        <charset val="129"/>
      </rPr>
      <t>→ 클라이언트</t>
    </r>
    <phoneticPr fontId="2" type="noConversion"/>
  </si>
  <si>
    <t>Bit 데이터 정상 통신</t>
  </si>
  <si>
    <t>Word 데이터 정상 통신</t>
  </si>
  <si>
    <t>Float 데이터 정상 통신</t>
  </si>
  <si>
    <t>Ascii 데이터 정상 통신</t>
  </si>
  <si>
    <t>Word 배열 데이터 정상 통신</t>
  </si>
  <si>
    <t>Float 배열 데이터 정상 통신</t>
  </si>
  <si>
    <t>Ascii 배열 데이터 정상 통신</t>
  </si>
  <si>
    <t>LS XBC</t>
    <phoneticPr fontId="2" type="noConversion"/>
  </si>
  <si>
    <t>LS XBM</t>
    <phoneticPr fontId="2" type="noConversion"/>
  </si>
  <si>
    <t>TOPRT1550W</t>
    <phoneticPr fontId="2" type="noConversion"/>
  </si>
  <si>
    <t>정충영</t>
    <phoneticPr fontId="2" type="noConversion"/>
  </si>
  <si>
    <t>데이터 2초 주기로 데이터 갱신</t>
    <phoneticPr fontId="2" type="noConversion"/>
  </si>
  <si>
    <t>SD 카드에 경보 백업</t>
    <phoneticPr fontId="2" type="noConversion"/>
  </si>
  <si>
    <t>오래된 파일 삭제 단위 만큼 SD 카드에 경보 백업</t>
    <phoneticPr fontId="2" type="noConversion"/>
  </si>
  <si>
    <t>eMMC 메모리에 경보 백업</t>
    <phoneticPr fontId="2" type="noConversion"/>
  </si>
  <si>
    <t>USB 메모리에 경보 백업</t>
    <phoneticPr fontId="2" type="noConversion"/>
  </si>
  <si>
    <t>SD 카드에 모든 경보 백업</t>
    <phoneticPr fontId="2" type="noConversion"/>
  </si>
  <si>
    <t>로그 100개 저장 시, 30% 데이터 SD 카드 백업</t>
    <phoneticPr fontId="2" type="noConversion"/>
  </si>
  <si>
    <t>테크니컬팀</t>
    <phoneticPr fontId="2" type="noConversion"/>
  </si>
  <si>
    <t>관리자 비밀번호 설정 - 작화 다운로드 (123)</t>
    <phoneticPr fontId="2" type="noConversion"/>
  </si>
  <si>
    <t>래치 사용(SYS50 ~ 59)</t>
    <phoneticPr fontId="2" type="noConversion"/>
  </si>
  <si>
    <t>글로벌 잠금 - 비트 설정 (10초 후 자동 Off)</t>
    <phoneticPr fontId="2" type="noConversion"/>
  </si>
  <si>
    <t>문자 보내기 - 경보 메시지</t>
    <phoneticPr fontId="2" type="noConversion"/>
  </si>
  <si>
    <t>경보 발생 시, 문자 발송</t>
    <phoneticPr fontId="2" type="noConversion"/>
  </si>
  <si>
    <t>이메일 보내기 - 직접 입력</t>
    <phoneticPr fontId="2" type="noConversion"/>
  </si>
  <si>
    <t>이메일 보내기 - 경보 메시지</t>
    <phoneticPr fontId="2" type="noConversion"/>
  </si>
  <si>
    <t>경보 발생 시, 이메일 발송</t>
    <phoneticPr fontId="2" type="noConversion"/>
  </si>
  <si>
    <t>특수 주소 - REMOTE_CONTROL_BLOCK</t>
    <phoneticPr fontId="2" type="noConversion"/>
  </si>
  <si>
    <t>특수 주소 - VNC_USER_COUNT</t>
    <phoneticPr fontId="2" type="noConversion"/>
  </si>
  <si>
    <t>SD 카드 접근 및 읽기</t>
    <phoneticPr fontId="2" type="noConversion"/>
  </si>
  <si>
    <t>eMMC 접근 및 읽기</t>
    <phoneticPr fontId="2" type="noConversion"/>
  </si>
  <si>
    <t>VNC, FTP, 기타</t>
    <phoneticPr fontId="2" type="noConversion"/>
  </si>
  <si>
    <t>프로젝트 비교</t>
    <phoneticPr fontId="2" type="noConversion"/>
  </si>
  <si>
    <t>도구 - 프로젝트 비교</t>
    <phoneticPr fontId="2" type="noConversion"/>
  </si>
  <si>
    <t>프로젝트 비교 완료</t>
    <phoneticPr fontId="2" type="noConversion"/>
  </si>
  <si>
    <t>보안 / VNC, FTP, 기타</t>
    <phoneticPr fontId="2" type="noConversion"/>
  </si>
  <si>
    <t>로그 업로드</t>
    <phoneticPr fontId="2" type="noConversion"/>
  </si>
  <si>
    <t>경보 업로드</t>
    <phoneticPr fontId="2" type="noConversion"/>
  </si>
  <si>
    <t>데이터</t>
    <phoneticPr fontId="2" type="noConversion"/>
  </si>
  <si>
    <t>로그 데이터 업로드</t>
    <phoneticPr fontId="2" type="noConversion"/>
  </si>
  <si>
    <t>경보 데이터 업로드</t>
    <phoneticPr fontId="2" type="noConversion"/>
  </si>
  <si>
    <t>좌측 상단 테스트 모델(HMI)과 테스트 시작 일 작성
각 항목에 대한 테스트 결과 입력
테스트 결과 정상이 아닌 경우, 비고란에 레드마인 번호 기입</t>
    <phoneticPr fontId="2" type="noConversion"/>
  </si>
  <si>
    <t>테스트 작화 없이 작업자가 가지고 있는 HMI로 테스트 진행</t>
    <phoneticPr fontId="2" type="noConversion"/>
  </si>
  <si>
    <t>#22944</t>
    <phoneticPr fontId="2" type="noConversion"/>
  </si>
  <si>
    <t>0:연결안됨, 1:연결됨 정상 표시</t>
    <phoneticPr fontId="2" type="noConversion"/>
  </si>
  <si>
    <t>HBZ 파일</t>
    <phoneticPr fontId="2" type="noConversion"/>
  </si>
  <si>
    <t>USB 메모리</t>
    <phoneticPr fontId="2" type="noConversion"/>
  </si>
  <si>
    <t>아이템 삭제 후, 추가</t>
    <phoneticPr fontId="2" type="noConversion"/>
  </si>
  <si>
    <t>파라미터 값 복귀</t>
    <phoneticPr fontId="2" type="noConversion"/>
  </si>
  <si>
    <t>전송</t>
    <phoneticPr fontId="2" type="noConversion"/>
  </si>
  <si>
    <t>Top Remote View 접속 불가 (User1)</t>
    <phoneticPr fontId="2" type="noConversion"/>
  </si>
  <si>
    <t>Top Remote View 접속 및 제어 불가 (User2)</t>
    <phoneticPr fontId="2" type="noConversion"/>
  </si>
  <si>
    <t>Top Remote View 접속 및 제어 가능 (User3,4)</t>
    <phoneticPr fontId="2" type="noConversion"/>
  </si>
  <si>
    <t>글로벌 터치 잠금 - 고정 비밀번호 (1234)</t>
    <phoneticPr fontId="2" type="noConversion"/>
  </si>
  <si>
    <t>-</t>
    <phoneticPr fontId="2" type="noConversion"/>
  </si>
  <si>
    <t>로그 - 통신 주기 적용 (비순차 2s)</t>
    <phoneticPr fontId="2" type="noConversion"/>
  </si>
  <si>
    <t>외부 DB 테이블 데이터 내보내기</t>
    <phoneticPr fontId="2" type="noConversion"/>
  </si>
  <si>
    <t>프로젝트 속성 - HMI 데이터 업로드 비활성화 체크 - TDS 로그 업로드</t>
    <phoneticPr fontId="2" type="noConversion"/>
  </si>
  <si>
    <t>프로젝트 속성 - HMI 데이터 업로드 비활성화 체크 - TDS 경보 업로드</t>
    <phoneticPr fontId="2" type="noConversion"/>
  </si>
  <si>
    <t>프로젝트 속성 - HMI 데이터 업로드 비활성화 체크 - USB 로그 업로드</t>
    <phoneticPr fontId="2" type="noConversion"/>
  </si>
  <si>
    <t>프로젝트 속성 - HMI 데이터 업로드 비활성화 체크 - USB 경보 업로드</t>
    <phoneticPr fontId="2" type="noConversion"/>
  </si>
  <si>
    <t>로그 데이터 업로드 불가</t>
    <phoneticPr fontId="2" type="noConversion"/>
  </si>
  <si>
    <t>경보 데이터 업로드 불가</t>
    <phoneticPr fontId="2" type="noConversion"/>
  </si>
  <si>
    <t>데이터 업로드 금지</t>
    <phoneticPr fontId="2" type="noConversion"/>
  </si>
  <si>
    <t>문자 보내기 - 직접 입력 (COOLSMS)</t>
    <phoneticPr fontId="2" type="noConversion"/>
  </si>
  <si>
    <t>문자 보내기 - 직접 입력 (SOLAPI)</t>
    <phoneticPr fontId="2" type="noConversion"/>
  </si>
  <si>
    <t>COOL는 사이트 연동 문자 발송</t>
    <phoneticPr fontId="2" type="noConversion"/>
  </si>
  <si>
    <t>안소희</t>
    <phoneticPr fontId="2" type="noConversion"/>
  </si>
  <si>
    <t>TOPRD1240+TOPRP50D</t>
  </si>
  <si>
    <t>TOPRP20-TOPRD1220X</t>
    <phoneticPr fontId="2" type="noConversion"/>
  </si>
  <si>
    <t>PLC 터치 입력 사용 - 상대 좌표</t>
    <phoneticPr fontId="2" type="noConversion"/>
  </si>
  <si>
    <t>PLC 값에 따른 상대 좌표 입력</t>
    <phoneticPr fontId="2" type="noConversion"/>
  </si>
  <si>
    <t>초기화</t>
    <phoneticPr fontId="2" type="noConversion"/>
  </si>
  <si>
    <t>SD 카드 초기화</t>
    <phoneticPr fontId="2" type="noConversion"/>
  </si>
  <si>
    <t>SD 카드 복구 디스크로 초기화</t>
    <phoneticPr fontId="2" type="noConversion"/>
  </si>
  <si>
    <t>OS 버전 정상 초기화</t>
    <phoneticPr fontId="2" type="noConversion"/>
  </si>
  <si>
    <t>TOPRD1240+TOPRP50D</t>
    <phoneticPr fontId="2" type="noConversion"/>
  </si>
  <si>
    <t>TDS-SQC-2026-007</t>
    <phoneticPr fontId="2" type="noConversion"/>
  </si>
  <si>
    <t>1.4.13.43</t>
    <phoneticPr fontId="2" type="noConversion"/>
  </si>
  <si>
    <t>김현상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</si>
</sst>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(0.0%\)"/>
  </numFmts>
  <fonts count="20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돋움체"/>
      <family val="3"/>
      <charset val="129"/>
    </font>
    <font>
      <sz val="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E9F0F5"/>
      </patternFill>
    </fill>
    <fill>
      <patternFill patternType="solid">
        <fgColor theme="5" tint="0.79998168889431442"/>
        <bgColor rgb="FFF4CCCC"/>
      </patternFill>
    </fill>
  </fills>
  <borders count="6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7" fillId="0" borderId="0">
      <alignment vertical="center"/>
    </xf>
  </cellStyleXfs>
  <cellXfs count="2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13" fillId="0" borderId="47" xfId="1" applyFont="1" applyBorder="1" applyAlignment="1">
      <alignment horizontal="center"/>
    </xf>
    <xf numFmtId="0" fontId="6" fillId="0" borderId="0" xfId="0" applyFont="1">
      <alignment vertical="center"/>
    </xf>
    <xf numFmtId="0" fontId="15" fillId="6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center" vertical="center"/>
    </xf>
    <xf numFmtId="0" fontId="15" fillId="8" borderId="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7" fontId="13" fillId="0" borderId="48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176" fontId="6" fillId="0" borderId="18" xfId="0" applyNumberFormat="1" applyFont="1" applyBorder="1" applyAlignment="1">
      <alignment horizontal="center" vertical="center"/>
    </xf>
    <xf numFmtId="177" fontId="12" fillId="0" borderId="48" xfId="1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4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6" borderId="0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14" fontId="15" fillId="6" borderId="5" xfId="0" applyNumberFormat="1" applyFont="1" applyFill="1" applyBorder="1" applyAlignment="1">
      <alignment horizontal="center" vertical="center" wrapText="1"/>
    </xf>
    <xf numFmtId="14" fontId="15" fillId="6" borderId="6" xfId="0" applyNumberFormat="1" applyFont="1" applyFill="1" applyBorder="1" applyAlignment="1">
      <alignment horizontal="center" vertical="center" wrapText="1"/>
    </xf>
    <xf numFmtId="14" fontId="15" fillId="6" borderId="7" xfId="0" applyNumberFormat="1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14" fontId="14" fillId="0" borderId="0" xfId="0" applyNumberFormat="1" applyFont="1" applyBorder="1" applyAlignment="1">
      <alignment horizontal="left" vertical="center"/>
    </xf>
    <xf numFmtId="0" fontId="16" fillId="6" borderId="0" xfId="0" applyFont="1" applyFill="1" applyBorder="1" applyAlignment="1">
      <alignment horizontal="right" vertical="center"/>
    </xf>
    <xf numFmtId="0" fontId="15" fillId="7" borderId="36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15" fillId="7" borderId="39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176" fontId="15" fillId="6" borderId="5" xfId="0" applyNumberFormat="1" applyFont="1" applyFill="1" applyBorder="1" applyAlignment="1">
      <alignment horizontal="center" vertical="center" wrapText="1"/>
    </xf>
    <xf numFmtId="176" fontId="15" fillId="6" borderId="6" xfId="0" applyNumberFormat="1" applyFont="1" applyFill="1" applyBorder="1" applyAlignment="1">
      <alignment horizontal="center" vertical="center" wrapText="1"/>
    </xf>
    <xf numFmtId="176" fontId="15" fillId="6" borderId="7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/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2" fillId="0" borderId="51" xfId="1" applyFont="1" applyBorder="1" applyAlignment="1">
      <alignment horizontal="center" vertical="center"/>
    </xf>
    <xf numFmtId="0" fontId="12" fillId="0" borderId="52" xfId="1" applyFont="1" applyBorder="1" applyAlignment="1">
      <alignment horizontal="center" vertical="center"/>
    </xf>
    <xf numFmtId="176" fontId="14" fillId="0" borderId="43" xfId="0" applyNumberFormat="1" applyFont="1" applyBorder="1" applyAlignment="1">
      <alignment horizontal="center" vertical="center"/>
    </xf>
    <xf numFmtId="176" fontId="14" fillId="0" borderId="46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" fillId="10" borderId="41" xfId="1" applyFont="1" applyFill="1" applyBorder="1" applyAlignment="1">
      <alignment horizontal="center" vertical="center"/>
    </xf>
    <xf numFmtId="0" fontId="4" fillId="10" borderId="42" xfId="1" applyFont="1" applyFill="1" applyBorder="1" applyAlignment="1">
      <alignment horizontal="center" vertical="center"/>
    </xf>
    <xf numFmtId="0" fontId="4" fillId="10" borderId="44" xfId="1" applyFont="1" applyFill="1" applyBorder="1" applyAlignment="1">
      <alignment horizontal="center" vertical="center"/>
    </xf>
    <xf numFmtId="0" fontId="4" fillId="10" borderId="45" xfId="1" applyFont="1" applyFill="1" applyBorder="1" applyAlignment="1">
      <alignment horizontal="center" vertical="center"/>
    </xf>
    <xf numFmtId="176" fontId="14" fillId="0" borderId="47" xfId="0" applyNumberFormat="1" applyFont="1" applyBorder="1" applyAlignment="1">
      <alignment horizontal="center" vertical="center"/>
    </xf>
    <xf numFmtId="176" fontId="14" fillId="0" borderId="48" xfId="0" applyNumberFormat="1" applyFont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53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</cellXfs>
  <cellStyles count="3">
    <cellStyle name="표준" xfId="0" builtinId="0"/>
    <cellStyle name="표준 2 2 2" xfId="2" xr:uid="{00000000-0005-0000-0000-000001000000}"/>
    <cellStyle name="표준 3" xfId="1" xr:uid="{00000000-0005-0000-0000-000002000000}"/>
  </cellStyles>
  <dxfs count="99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00"/>
      <color rgb="FFFBDB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1</xdr:row>
      <xdr:rowOff>200025</xdr:rowOff>
    </xdr:from>
    <xdr:to>
      <xdr:col>10</xdr:col>
      <xdr:colOff>76200</xdr:colOff>
      <xdr:row>3</xdr:row>
      <xdr:rowOff>117475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097372D-D115-4625-B1F4-83888E447F31}"/>
            </a:ext>
          </a:extLst>
        </xdr:cNvPr>
        <xdr:cNvSpPr txBox="1">
          <a:spLocks noChangeArrowheads="1"/>
        </xdr:cNvSpPr>
      </xdr:nvSpPr>
      <xdr:spPr bwMode="auto">
        <a:xfrm>
          <a:off x="1095375" y="409575"/>
          <a:ext cx="5838825" cy="336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ko-KR" sz="1800" b="1" i="0" strike="noStrike">
              <a:solidFill>
                <a:srgbClr val="000000"/>
              </a:solidFill>
              <a:latin typeface="+mj-ea"/>
              <a:ea typeface="+mj-ea"/>
            </a:rPr>
            <a:t>TDS </a:t>
          </a:r>
          <a:r>
            <a:rPr lang="ko-KR" altLang="en-US" sz="1800" b="1" i="0" strike="noStrike">
              <a:solidFill>
                <a:srgbClr val="000000"/>
              </a:solidFill>
              <a:latin typeface="+mj-ea"/>
              <a:ea typeface="+mj-ea"/>
            </a:rPr>
            <a:t>소프트웨어 테스트</a:t>
          </a:r>
          <a:endParaRPr lang="en-US" altLang="ko-KR" sz="1800" b="1" i="0" strike="noStrike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34"/>
  <sheetViews>
    <sheetView showGridLines="0" tabSelected="1" view="pageBreakPreview" zoomScaleNormal="100" zoomScaleSheetLayoutView="100" workbookViewId="0">
      <selection activeCell="D23" sqref="D23:F23"/>
    </sheetView>
  </sheetViews>
  <sheetFormatPr defaultRowHeight="16.5"/>
  <cols>
    <col min="1" max="16384" width="9" style="44"/>
  </cols>
  <sheetData>
    <row r="6" spans="2:12">
      <c r="B6" s="85" t="s">
        <v>435</v>
      </c>
      <c r="C6" s="85" t="s">
        <v>790</v>
      </c>
      <c r="D6" s="45"/>
      <c r="E6" s="45"/>
      <c r="F6" s="45"/>
      <c r="G6" s="45"/>
      <c r="H6" s="45"/>
      <c r="I6" s="125" t="s">
        <v>434</v>
      </c>
      <c r="J6" s="125"/>
      <c r="K6" s="124">
        <v>46240</v>
      </c>
      <c r="L6" s="124"/>
    </row>
    <row r="7" spans="2:12">
      <c r="B7" s="46"/>
      <c r="C7" s="45"/>
      <c r="D7" s="45"/>
      <c r="E7" s="45"/>
      <c r="F7" s="45"/>
      <c r="G7" s="45"/>
      <c r="H7" s="45"/>
      <c r="I7" s="45"/>
      <c r="J7" s="45"/>
      <c r="K7" s="45"/>
    </row>
    <row r="8" spans="2:12">
      <c r="B8" s="46" t="s">
        <v>437</v>
      </c>
      <c r="C8" s="45"/>
      <c r="D8" s="45"/>
      <c r="E8" s="45"/>
      <c r="F8" s="45"/>
      <c r="G8" s="45"/>
      <c r="H8" s="45"/>
      <c r="I8" s="45"/>
      <c r="J8" s="45"/>
      <c r="K8" s="45"/>
    </row>
    <row r="9" spans="2:12">
      <c r="B9" s="126" t="s">
        <v>439</v>
      </c>
      <c r="C9" s="127"/>
      <c r="D9" s="130" t="s">
        <v>789</v>
      </c>
      <c r="E9" s="131"/>
      <c r="F9" s="131"/>
      <c r="G9" s="131"/>
      <c r="H9" s="131"/>
      <c r="I9" s="131"/>
      <c r="J9" s="131"/>
      <c r="K9" s="132"/>
    </row>
    <row r="10" spans="2:12">
      <c r="B10" s="128"/>
      <c r="C10" s="129"/>
      <c r="D10" s="133"/>
      <c r="E10" s="134"/>
      <c r="F10" s="134"/>
      <c r="G10" s="134"/>
      <c r="H10" s="134"/>
      <c r="I10" s="134"/>
      <c r="J10" s="134"/>
      <c r="K10" s="135"/>
    </row>
    <row r="11" spans="2:12">
      <c r="B11" s="46"/>
      <c r="C11" s="47"/>
      <c r="D11" s="47"/>
      <c r="E11" s="48"/>
      <c r="F11" s="47"/>
      <c r="G11" s="47"/>
      <c r="H11" s="47"/>
      <c r="I11" s="47"/>
      <c r="J11" s="47"/>
      <c r="K11" s="47"/>
    </row>
    <row r="12" spans="2:12">
      <c r="B12" s="46" t="s">
        <v>438</v>
      </c>
      <c r="C12" s="47"/>
      <c r="D12" s="47"/>
      <c r="E12" s="48"/>
      <c r="F12" s="47"/>
      <c r="G12" s="47"/>
      <c r="H12" s="47"/>
      <c r="I12" s="47"/>
      <c r="J12" s="47"/>
      <c r="K12" s="47"/>
    </row>
    <row r="13" spans="2:12">
      <c r="B13" s="118" t="s">
        <v>293</v>
      </c>
      <c r="C13" s="119"/>
      <c r="D13" s="120" t="s">
        <v>722</v>
      </c>
      <c r="E13" s="121"/>
      <c r="F13" s="122"/>
      <c r="G13" s="118" t="s">
        <v>443</v>
      </c>
      <c r="H13" s="119"/>
      <c r="I13" s="120" t="s">
        <v>791</v>
      </c>
      <c r="J13" s="121"/>
      <c r="K13" s="122"/>
    </row>
    <row r="14" spans="2:12">
      <c r="B14" s="118" t="s">
        <v>311</v>
      </c>
      <c r="C14" s="119"/>
      <c r="D14" s="120" t="s">
        <v>722</v>
      </c>
      <c r="E14" s="121"/>
      <c r="F14" s="122"/>
      <c r="G14" s="118" t="s">
        <v>280</v>
      </c>
      <c r="H14" s="119"/>
      <c r="I14" s="120" t="s">
        <v>779</v>
      </c>
      <c r="J14" s="121"/>
      <c r="K14" s="122"/>
    </row>
    <row r="15" spans="2:12">
      <c r="B15" s="114" t="s">
        <v>440</v>
      </c>
      <c r="C15" s="114"/>
      <c r="D15" s="120" t="s">
        <v>791</v>
      </c>
      <c r="E15" s="121"/>
      <c r="F15" s="122"/>
      <c r="G15" s="118" t="s">
        <v>436</v>
      </c>
      <c r="H15" s="119"/>
      <c r="I15" s="120" t="s">
        <v>779</v>
      </c>
      <c r="J15" s="121"/>
      <c r="K15" s="122"/>
    </row>
    <row r="16" spans="2:12">
      <c r="B16" s="118" t="s">
        <v>441</v>
      </c>
      <c r="C16" s="119"/>
      <c r="D16" s="120" t="s">
        <v>791</v>
      </c>
      <c r="E16" s="121"/>
      <c r="F16" s="122"/>
      <c r="G16" s="118" t="s">
        <v>743</v>
      </c>
      <c r="H16" s="119"/>
      <c r="I16" s="120" t="s">
        <v>779</v>
      </c>
      <c r="J16" s="121"/>
      <c r="K16" s="122"/>
    </row>
    <row r="17" spans="2:11">
      <c r="B17" s="118" t="s">
        <v>442</v>
      </c>
      <c r="C17" s="119"/>
      <c r="D17" s="120" t="s">
        <v>791</v>
      </c>
      <c r="E17" s="121"/>
      <c r="F17" s="122"/>
      <c r="G17" s="118"/>
      <c r="H17" s="119"/>
      <c r="I17" s="120"/>
      <c r="J17" s="121"/>
      <c r="K17" s="122"/>
    </row>
    <row r="18" spans="2:11">
      <c r="B18" s="46"/>
      <c r="C18" s="47"/>
      <c r="D18" s="47"/>
      <c r="E18" s="47"/>
      <c r="F18" s="47"/>
      <c r="G18" s="47"/>
      <c r="H18" s="47"/>
      <c r="I18" s="47"/>
      <c r="J18" s="47"/>
      <c r="K18" s="47"/>
    </row>
    <row r="19" spans="2:11">
      <c r="B19" s="46" t="s">
        <v>444</v>
      </c>
      <c r="C19" s="47"/>
      <c r="D19" s="47"/>
      <c r="E19" s="47"/>
      <c r="F19" s="47"/>
      <c r="G19" s="47"/>
      <c r="H19" s="47"/>
      <c r="I19" s="47"/>
      <c r="J19" s="47"/>
      <c r="K19" s="47"/>
    </row>
    <row r="20" spans="2:11">
      <c r="B20" s="114" t="s">
        <v>452</v>
      </c>
      <c r="C20" s="114"/>
      <c r="D20" s="118" t="s">
        <v>453</v>
      </c>
      <c r="E20" s="123"/>
      <c r="F20" s="119"/>
      <c r="G20" s="114" t="s">
        <v>452</v>
      </c>
      <c r="H20" s="114"/>
      <c r="I20" s="118" t="s">
        <v>454</v>
      </c>
      <c r="J20" s="123"/>
      <c r="K20" s="119"/>
    </row>
    <row r="21" spans="2:11">
      <c r="B21" s="114">
        <v>1</v>
      </c>
      <c r="C21" s="114"/>
      <c r="D21" s="120" t="s">
        <v>707</v>
      </c>
      <c r="E21" s="121"/>
      <c r="F21" s="122"/>
      <c r="G21" s="114">
        <v>1</v>
      </c>
      <c r="H21" s="114"/>
      <c r="I21" s="120" t="s">
        <v>456</v>
      </c>
      <c r="J21" s="121"/>
      <c r="K21" s="122"/>
    </row>
    <row r="22" spans="2:11">
      <c r="B22" s="114">
        <v>2</v>
      </c>
      <c r="C22" s="114"/>
      <c r="D22" s="120" t="s">
        <v>455</v>
      </c>
      <c r="E22" s="121"/>
      <c r="F22" s="122"/>
      <c r="G22" s="114">
        <v>2</v>
      </c>
      <c r="H22" s="114"/>
      <c r="I22" s="120" t="s">
        <v>457</v>
      </c>
      <c r="J22" s="121"/>
      <c r="K22" s="122"/>
    </row>
    <row r="23" spans="2:11">
      <c r="B23" s="114">
        <v>3</v>
      </c>
      <c r="C23" s="114"/>
      <c r="D23" s="120" t="s">
        <v>311</v>
      </c>
      <c r="E23" s="121"/>
      <c r="F23" s="122"/>
      <c r="G23" s="114">
        <v>3</v>
      </c>
      <c r="H23" s="114"/>
      <c r="I23" s="120" t="s">
        <v>719</v>
      </c>
      <c r="J23" s="121"/>
      <c r="K23" s="122"/>
    </row>
    <row r="24" spans="2:11">
      <c r="B24" s="114">
        <v>4</v>
      </c>
      <c r="C24" s="114"/>
      <c r="D24" s="120" t="s">
        <v>788</v>
      </c>
      <c r="E24" s="121"/>
      <c r="F24" s="122"/>
      <c r="G24" s="114">
        <v>4</v>
      </c>
      <c r="H24" s="114"/>
      <c r="I24" s="120" t="s">
        <v>720</v>
      </c>
      <c r="J24" s="121"/>
      <c r="K24" s="122"/>
    </row>
    <row r="25" spans="2:11">
      <c r="B25" s="114">
        <v>5</v>
      </c>
      <c r="C25" s="114"/>
      <c r="D25" s="120"/>
      <c r="E25" s="121"/>
      <c r="F25" s="122"/>
      <c r="G25" s="114">
        <v>5</v>
      </c>
      <c r="H25" s="114"/>
      <c r="I25" s="120"/>
      <c r="J25" s="121"/>
      <c r="K25" s="122"/>
    </row>
    <row r="26" spans="2:11">
      <c r="B26" s="46"/>
      <c r="C26" s="47"/>
      <c r="D26" s="47"/>
      <c r="E26" s="47"/>
      <c r="F26" s="47"/>
      <c r="G26" s="47"/>
      <c r="H26" s="47"/>
      <c r="I26" s="47"/>
      <c r="J26" s="47"/>
      <c r="K26" s="47"/>
    </row>
    <row r="27" spans="2:11">
      <c r="B27" s="46" t="s">
        <v>450</v>
      </c>
      <c r="C27" s="47"/>
      <c r="D27" s="47"/>
      <c r="E27" s="47"/>
      <c r="F27" s="47"/>
      <c r="G27" s="47"/>
      <c r="H27" s="47"/>
      <c r="I27" s="47"/>
      <c r="J27" s="47"/>
      <c r="K27" s="47"/>
    </row>
    <row r="28" spans="2:11">
      <c r="B28" s="114" t="s">
        <v>445</v>
      </c>
      <c r="C28" s="114"/>
      <c r="D28" s="136">
        <f ca="1">('테스트 결과'!J13)</f>
        <v>0</v>
      </c>
      <c r="E28" s="137"/>
      <c r="F28" s="137"/>
      <c r="G28" s="137"/>
      <c r="H28" s="137"/>
      <c r="I28" s="137"/>
      <c r="J28" s="137"/>
      <c r="K28" s="138"/>
    </row>
    <row r="29" spans="2:11">
      <c r="B29" s="114" t="s">
        <v>446</v>
      </c>
      <c r="C29" s="114"/>
      <c r="D29" s="136">
        <f ca="1">('테스트 결과'!G14)</f>
        <v>0</v>
      </c>
      <c r="E29" s="137"/>
      <c r="F29" s="137"/>
      <c r="G29" s="137"/>
      <c r="H29" s="137"/>
      <c r="I29" s="137"/>
      <c r="J29" s="137"/>
      <c r="K29" s="138"/>
    </row>
    <row r="30" spans="2:11">
      <c r="B30" s="114" t="s">
        <v>447</v>
      </c>
      <c r="C30" s="114"/>
      <c r="D30" s="136">
        <f ca="1">('테스트 결과'!H14)</f>
        <v>1.7441860465116279E-2</v>
      </c>
      <c r="E30" s="137"/>
      <c r="F30" s="137"/>
      <c r="G30" s="137"/>
      <c r="H30" s="137"/>
      <c r="I30" s="137"/>
      <c r="J30" s="137"/>
      <c r="K30" s="138"/>
    </row>
    <row r="32" spans="2:11">
      <c r="B32" s="46" t="s">
        <v>451</v>
      </c>
      <c r="C32" s="47"/>
      <c r="D32" s="47"/>
      <c r="E32" s="47"/>
      <c r="F32" s="47"/>
      <c r="G32" s="47"/>
      <c r="H32" s="47"/>
      <c r="I32" s="47"/>
      <c r="J32" s="47"/>
      <c r="K32" s="47"/>
    </row>
    <row r="33" spans="2:11">
      <c r="B33" s="118" t="s">
        <v>448</v>
      </c>
      <c r="C33" s="119"/>
      <c r="D33" s="120" t="s">
        <v>730</v>
      </c>
      <c r="E33" s="121"/>
      <c r="F33" s="121"/>
      <c r="G33" s="121"/>
      <c r="H33" s="121"/>
      <c r="I33" s="121"/>
      <c r="J33" s="121"/>
      <c r="K33" s="122"/>
    </row>
    <row r="34" spans="2:11">
      <c r="B34" s="114" t="s">
        <v>458</v>
      </c>
      <c r="C34" s="114"/>
      <c r="D34" s="115" t="s">
        <v>766</v>
      </c>
      <c r="E34" s="116"/>
      <c r="F34" s="116"/>
      <c r="G34" s="116"/>
      <c r="H34" s="116"/>
      <c r="I34" s="116"/>
      <c r="J34" s="116"/>
      <c r="K34" s="117"/>
    </row>
  </sheetData>
  <mergeCells count="58">
    <mergeCell ref="B17:C17"/>
    <mergeCell ref="D17:F17"/>
    <mergeCell ref="D30:K30"/>
    <mergeCell ref="D28:K28"/>
    <mergeCell ref="D29:K29"/>
    <mergeCell ref="G17:H17"/>
    <mergeCell ref="G21:H21"/>
    <mergeCell ref="G22:H22"/>
    <mergeCell ref="B21:C21"/>
    <mergeCell ref="D21:F21"/>
    <mergeCell ref="B22:C22"/>
    <mergeCell ref="D22:F22"/>
    <mergeCell ref="B20:C20"/>
    <mergeCell ref="B9:C10"/>
    <mergeCell ref="D9:K10"/>
    <mergeCell ref="B13:C13"/>
    <mergeCell ref="D13:F13"/>
    <mergeCell ref="G13:H13"/>
    <mergeCell ref="I13:K13"/>
    <mergeCell ref="B14:C14"/>
    <mergeCell ref="D14:F14"/>
    <mergeCell ref="I14:K14"/>
    <mergeCell ref="G14:H14"/>
    <mergeCell ref="B15:C15"/>
    <mergeCell ref="D15:F15"/>
    <mergeCell ref="I15:K15"/>
    <mergeCell ref="K6:L6"/>
    <mergeCell ref="I6:J6"/>
    <mergeCell ref="I25:K25"/>
    <mergeCell ref="G16:H16"/>
    <mergeCell ref="I16:K16"/>
    <mergeCell ref="G15:H15"/>
    <mergeCell ref="I17:K17"/>
    <mergeCell ref="G23:H23"/>
    <mergeCell ref="I23:K23"/>
    <mergeCell ref="G24:H24"/>
    <mergeCell ref="G20:H20"/>
    <mergeCell ref="I20:K20"/>
    <mergeCell ref="G25:H25"/>
    <mergeCell ref="I21:K21"/>
    <mergeCell ref="I22:K22"/>
    <mergeCell ref="I24:K24"/>
    <mergeCell ref="B34:C34"/>
    <mergeCell ref="D34:K34"/>
    <mergeCell ref="B33:C33"/>
    <mergeCell ref="D33:K33"/>
    <mergeCell ref="B16:C16"/>
    <mergeCell ref="D16:F16"/>
    <mergeCell ref="B23:C23"/>
    <mergeCell ref="D23:F23"/>
    <mergeCell ref="B24:C24"/>
    <mergeCell ref="D24:F24"/>
    <mergeCell ref="D20:F20"/>
    <mergeCell ref="B25:C25"/>
    <mergeCell ref="D25:F25"/>
    <mergeCell ref="B28:C28"/>
    <mergeCell ref="B29:C29"/>
    <mergeCell ref="B30:C30"/>
  </mergeCells>
  <phoneticPr fontId="2" type="noConversion"/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8EE4-D6B1-4C70-84C2-4A5D99F5CBAA}">
  <sheetPr>
    <pageSetUpPr fitToPage="1"/>
  </sheetPr>
  <dimension ref="A1:H65"/>
  <sheetViews>
    <sheetView zoomScaleNormal="100" workbookViewId="0">
      <selection activeCell="G52" sqref="G52:G65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46"/>
      <c r="G1" s="146"/>
      <c r="H1" s="146"/>
    </row>
    <row r="2" spans="1:8">
      <c r="A2" s="68"/>
      <c r="B2" s="34" t="s">
        <v>31</v>
      </c>
      <c r="C2" s="35" t="s">
        <v>708</v>
      </c>
      <c r="F2" s="29" t="s">
        <v>32</v>
      </c>
      <c r="G2" s="30" t="s">
        <v>33</v>
      </c>
      <c r="H2" s="31" t="s">
        <v>34</v>
      </c>
    </row>
    <row r="3" spans="1:8">
      <c r="A3" s="68"/>
      <c r="B3" s="32" t="s">
        <v>116</v>
      </c>
      <c r="C3" s="33" t="str">
        <f>(표지!C6)</f>
        <v>1.4.13.43</v>
      </c>
      <c r="F3" s="32" t="str">
        <f>IF(G2&lt;&gt;"", TEXT(COUNTIF(G9:G9933, "*" &amp; F2 &amp; "*") / COUNTA(A9:A933), "0.0%"), "")</f>
        <v>0.0%</v>
      </c>
      <c r="G3" s="70" t="str">
        <f>IF(G2&lt;&gt;"", TEXT(COUNTIF(G9:G9934, "*" &amp; G2 &amp; "*") / COUNTA(A9:A9934), "0.0%"), "")</f>
        <v>0.0%</v>
      </c>
      <c r="H3" s="33" t="str">
        <f>IF(H2&lt;&gt;"", TEXT(COUNTIF(G9:G9934, "*" &amp; H2 &amp; "*") / COUNTA(A9:A9934), "0.0%"), "")</f>
        <v>5.3%</v>
      </c>
    </row>
    <row r="4" spans="1:8">
      <c r="A4" s="68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(표지!D14)</f>
        <v>정충영</v>
      </c>
      <c r="F5" s="150" t="str">
        <f>TEXT(COUNTA(G9:G9933) / COUNTA(A9:A9934), "0.0%")</f>
        <v>5.3%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 s="9" customFormat="1">
      <c r="A9" s="69">
        <v>1</v>
      </c>
      <c r="B9" s="139" t="s">
        <v>311</v>
      </c>
      <c r="C9" s="145" t="s">
        <v>294</v>
      </c>
      <c r="D9" s="16" t="s">
        <v>295</v>
      </c>
      <c r="E9" s="142" t="s">
        <v>407</v>
      </c>
      <c r="F9" s="142"/>
      <c r="G9" s="69"/>
      <c r="H9" s="69"/>
    </row>
    <row r="10" spans="1:8" s="9" customFormat="1">
      <c r="A10" s="69">
        <v>2</v>
      </c>
      <c r="B10" s="143"/>
      <c r="C10" s="145"/>
      <c r="D10" s="16" t="s">
        <v>296</v>
      </c>
      <c r="E10" s="142" t="s">
        <v>408</v>
      </c>
      <c r="F10" s="142"/>
      <c r="G10" s="111"/>
      <c r="H10" s="69"/>
    </row>
    <row r="11" spans="1:8" s="9" customFormat="1">
      <c r="A11" s="81">
        <v>3</v>
      </c>
      <c r="B11" s="143"/>
      <c r="C11" s="145"/>
      <c r="D11" s="16" t="s">
        <v>297</v>
      </c>
      <c r="E11" s="142" t="s">
        <v>409</v>
      </c>
      <c r="F11" s="142"/>
      <c r="G11" s="111"/>
      <c r="H11" s="69"/>
    </row>
    <row r="12" spans="1:8" s="9" customFormat="1">
      <c r="A12" s="81">
        <v>4</v>
      </c>
      <c r="B12" s="143"/>
      <c r="C12" s="145"/>
      <c r="D12" s="16" t="s">
        <v>298</v>
      </c>
      <c r="E12" s="142" t="s">
        <v>410</v>
      </c>
      <c r="F12" s="142"/>
      <c r="G12" s="111"/>
      <c r="H12" s="69"/>
    </row>
    <row r="13" spans="1:8" s="9" customFormat="1">
      <c r="A13" s="81">
        <v>5</v>
      </c>
      <c r="B13" s="143"/>
      <c r="C13" s="145" t="s">
        <v>552</v>
      </c>
      <c r="D13" s="16" t="s">
        <v>304</v>
      </c>
      <c r="E13" s="142" t="s">
        <v>303</v>
      </c>
      <c r="F13" s="142"/>
      <c r="G13" s="111"/>
      <c r="H13" s="69"/>
    </row>
    <row r="14" spans="1:8" s="9" customFormat="1">
      <c r="A14" s="81">
        <v>6</v>
      </c>
      <c r="B14" s="143"/>
      <c r="C14" s="145"/>
      <c r="D14" s="16" t="s">
        <v>305</v>
      </c>
      <c r="E14" s="142" t="s">
        <v>400</v>
      </c>
      <c r="F14" s="142"/>
      <c r="G14" s="111"/>
      <c r="H14" s="69"/>
    </row>
    <row r="15" spans="1:8" s="9" customFormat="1">
      <c r="A15" s="81">
        <v>7</v>
      </c>
      <c r="B15" s="143"/>
      <c r="C15" s="145"/>
      <c r="D15" s="17" t="s">
        <v>306</v>
      </c>
      <c r="E15" s="142" t="s">
        <v>401</v>
      </c>
      <c r="F15" s="142"/>
      <c r="G15" s="111"/>
      <c r="H15" s="69"/>
    </row>
    <row r="16" spans="1:8" s="9" customFormat="1">
      <c r="A16" s="81">
        <v>8</v>
      </c>
      <c r="B16" s="143"/>
      <c r="C16" s="145"/>
      <c r="D16" s="17" t="s">
        <v>307</v>
      </c>
      <c r="E16" s="142" t="s">
        <v>402</v>
      </c>
      <c r="F16" s="142"/>
      <c r="G16" s="102"/>
      <c r="H16" s="69"/>
    </row>
    <row r="17" spans="1:8" s="9" customFormat="1">
      <c r="A17" s="81">
        <v>9</v>
      </c>
      <c r="B17" s="143"/>
      <c r="C17" s="145"/>
      <c r="D17" s="16" t="s">
        <v>310</v>
      </c>
      <c r="E17" s="142" t="s">
        <v>310</v>
      </c>
      <c r="F17" s="142"/>
      <c r="G17" s="111"/>
      <c r="H17" s="69"/>
    </row>
    <row r="18" spans="1:8" s="9" customFormat="1">
      <c r="A18" s="81">
        <v>10</v>
      </c>
      <c r="B18" s="143"/>
      <c r="C18" s="145"/>
      <c r="D18" s="16" t="s">
        <v>308</v>
      </c>
      <c r="E18" s="142" t="s">
        <v>309</v>
      </c>
      <c r="F18" s="142"/>
      <c r="G18" s="111"/>
      <c r="H18" s="69"/>
    </row>
    <row r="19" spans="1:8" s="9" customFormat="1">
      <c r="A19" s="81">
        <v>11</v>
      </c>
      <c r="B19" s="143"/>
      <c r="C19" s="145"/>
      <c r="D19" s="16" t="s">
        <v>542</v>
      </c>
      <c r="E19" s="142" t="s">
        <v>553</v>
      </c>
      <c r="F19" s="142"/>
      <c r="G19" s="111"/>
      <c r="H19" s="69"/>
    </row>
    <row r="20" spans="1:8" s="9" customFormat="1">
      <c r="A20" s="81">
        <v>12</v>
      </c>
      <c r="B20" s="143"/>
      <c r="C20" s="145"/>
      <c r="D20" s="16" t="s">
        <v>543</v>
      </c>
      <c r="E20" s="142" t="s">
        <v>554</v>
      </c>
      <c r="F20" s="142"/>
      <c r="G20" s="111"/>
      <c r="H20" s="69"/>
    </row>
    <row r="21" spans="1:8" s="9" customFormat="1">
      <c r="A21" s="81">
        <v>13</v>
      </c>
      <c r="B21" s="143"/>
      <c r="C21" s="145"/>
      <c r="D21" s="16" t="s">
        <v>544</v>
      </c>
      <c r="E21" s="142" t="s">
        <v>555</v>
      </c>
      <c r="F21" s="142"/>
      <c r="G21" s="111"/>
      <c r="H21" s="69"/>
    </row>
    <row r="22" spans="1:8" s="9" customFormat="1">
      <c r="A22" s="81">
        <v>14</v>
      </c>
      <c r="B22" s="143"/>
      <c r="C22" s="145"/>
      <c r="D22" s="16" t="s">
        <v>545</v>
      </c>
      <c r="E22" s="142" t="s">
        <v>556</v>
      </c>
      <c r="F22" s="142"/>
      <c r="G22" s="111"/>
      <c r="H22" s="69"/>
    </row>
    <row r="23" spans="1:8" s="9" customFormat="1">
      <c r="A23" s="81">
        <v>15</v>
      </c>
      <c r="B23" s="143"/>
      <c r="C23" s="145" t="s">
        <v>551</v>
      </c>
      <c r="D23" s="16" t="s">
        <v>546</v>
      </c>
      <c r="E23" s="142" t="s">
        <v>557</v>
      </c>
      <c r="F23" s="142"/>
      <c r="G23" s="111"/>
      <c r="H23" s="69"/>
    </row>
    <row r="24" spans="1:8" s="9" customFormat="1">
      <c r="A24" s="81">
        <v>16</v>
      </c>
      <c r="B24" s="143"/>
      <c r="C24" s="145"/>
      <c r="D24" s="16" t="s">
        <v>547</v>
      </c>
      <c r="E24" s="142" t="s">
        <v>558</v>
      </c>
      <c r="F24" s="142"/>
      <c r="G24" s="111"/>
      <c r="H24" s="69"/>
    </row>
    <row r="25" spans="1:8" s="9" customFormat="1">
      <c r="A25" s="81">
        <v>17</v>
      </c>
      <c r="B25" s="143"/>
      <c r="C25" s="145"/>
      <c r="D25" s="16" t="s">
        <v>548</v>
      </c>
      <c r="E25" s="142" t="s">
        <v>559</v>
      </c>
      <c r="F25" s="142"/>
      <c r="G25" s="111"/>
      <c r="H25" s="69"/>
    </row>
    <row r="26" spans="1:8" s="9" customFormat="1">
      <c r="A26" s="81">
        <v>18</v>
      </c>
      <c r="B26" s="143"/>
      <c r="C26" s="145"/>
      <c r="D26" s="16" t="s">
        <v>549</v>
      </c>
      <c r="E26" s="142" t="s">
        <v>560</v>
      </c>
      <c r="F26" s="142"/>
      <c r="G26" s="111"/>
      <c r="H26" s="69"/>
    </row>
    <row r="27" spans="1:8" s="9" customFormat="1">
      <c r="A27" s="81">
        <v>19</v>
      </c>
      <c r="B27" s="143"/>
      <c r="C27" s="145"/>
      <c r="D27" s="16" t="s">
        <v>550</v>
      </c>
      <c r="E27" s="142" t="s">
        <v>768</v>
      </c>
      <c r="F27" s="142"/>
      <c r="G27" s="111"/>
      <c r="H27" s="69"/>
    </row>
    <row r="28" spans="1:8" s="9" customFormat="1">
      <c r="A28" s="81">
        <v>20</v>
      </c>
      <c r="B28" s="143"/>
      <c r="C28" s="145"/>
      <c r="D28" s="16" t="s">
        <v>299</v>
      </c>
      <c r="E28" s="142" t="s">
        <v>403</v>
      </c>
      <c r="F28" s="142"/>
      <c r="G28" s="111"/>
      <c r="H28" s="69"/>
    </row>
    <row r="29" spans="1:8" s="9" customFormat="1">
      <c r="A29" s="81">
        <v>21</v>
      </c>
      <c r="B29" s="143"/>
      <c r="C29" s="145"/>
      <c r="D29" s="16" t="s">
        <v>300</v>
      </c>
      <c r="E29" s="142" t="s">
        <v>404</v>
      </c>
      <c r="F29" s="142"/>
      <c r="G29" s="111"/>
      <c r="H29" s="69"/>
    </row>
    <row r="30" spans="1:8" s="9" customFormat="1">
      <c r="A30" s="81">
        <v>22</v>
      </c>
      <c r="B30" s="143"/>
      <c r="C30" s="145"/>
      <c r="D30" s="16" t="s">
        <v>301</v>
      </c>
      <c r="E30" s="142" t="s">
        <v>405</v>
      </c>
      <c r="F30" s="142"/>
      <c r="G30" s="111"/>
      <c r="H30" s="69"/>
    </row>
    <row r="31" spans="1:8" s="9" customFormat="1">
      <c r="A31" s="81">
        <v>23</v>
      </c>
      <c r="B31" s="143"/>
      <c r="C31" s="145"/>
      <c r="D31" s="16" t="s">
        <v>302</v>
      </c>
      <c r="E31" s="142" t="s">
        <v>406</v>
      </c>
      <c r="F31" s="142"/>
      <c r="G31" s="111"/>
      <c r="H31" s="69"/>
    </row>
    <row r="32" spans="1:8" s="9" customFormat="1">
      <c r="A32" s="81">
        <v>24</v>
      </c>
      <c r="B32" s="143"/>
      <c r="C32" s="145"/>
      <c r="D32" s="16" t="s">
        <v>540</v>
      </c>
      <c r="E32" s="142" t="s">
        <v>561</v>
      </c>
      <c r="F32" s="142"/>
      <c r="G32" s="111"/>
      <c r="H32" s="69"/>
    </row>
    <row r="33" spans="1:8" s="9" customFormat="1">
      <c r="A33" s="81">
        <v>25</v>
      </c>
      <c r="B33" s="143"/>
      <c r="C33" s="145"/>
      <c r="D33" s="16" t="s">
        <v>541</v>
      </c>
      <c r="E33" s="142" t="s">
        <v>562</v>
      </c>
      <c r="F33" s="142"/>
      <c r="G33" s="111"/>
      <c r="H33" s="69"/>
    </row>
    <row r="34" spans="1:8">
      <c r="A34" s="81">
        <v>26</v>
      </c>
      <c r="B34" s="143"/>
      <c r="C34" s="145"/>
      <c r="D34" s="16" t="s">
        <v>564</v>
      </c>
      <c r="E34" s="142" t="s">
        <v>563</v>
      </c>
      <c r="F34" s="142"/>
      <c r="G34" s="111"/>
      <c r="H34" s="69"/>
    </row>
    <row r="35" spans="1:8">
      <c r="A35" s="81">
        <v>27</v>
      </c>
      <c r="B35" s="143"/>
      <c r="C35" s="145"/>
      <c r="D35" s="16" t="s">
        <v>565</v>
      </c>
      <c r="E35" s="142" t="s">
        <v>568</v>
      </c>
      <c r="F35" s="142"/>
      <c r="G35" s="111"/>
      <c r="H35" s="69"/>
    </row>
    <row r="36" spans="1:8">
      <c r="A36" s="81">
        <v>28</v>
      </c>
      <c r="B36" s="143"/>
      <c r="C36" s="145"/>
      <c r="D36" s="16" t="s">
        <v>566</v>
      </c>
      <c r="E36" s="142" t="s">
        <v>569</v>
      </c>
      <c r="F36" s="142"/>
      <c r="G36" s="111"/>
      <c r="H36" s="69"/>
    </row>
    <row r="37" spans="1:8">
      <c r="A37" s="81">
        <v>29</v>
      </c>
      <c r="B37" s="143"/>
      <c r="C37" s="145"/>
      <c r="D37" s="16" t="s">
        <v>567</v>
      </c>
      <c r="E37" s="142" t="s">
        <v>570</v>
      </c>
      <c r="F37" s="142"/>
      <c r="G37" s="111"/>
      <c r="H37" s="69"/>
    </row>
    <row r="38" spans="1:8">
      <c r="A38" s="81">
        <v>30</v>
      </c>
      <c r="B38" s="143"/>
      <c r="C38" s="139" t="s">
        <v>711</v>
      </c>
      <c r="D38" s="16" t="s">
        <v>572</v>
      </c>
      <c r="E38" s="142" t="s">
        <v>712</v>
      </c>
      <c r="F38" s="142"/>
      <c r="G38" s="111"/>
      <c r="H38" s="69"/>
    </row>
    <row r="39" spans="1:8">
      <c r="A39" s="81">
        <v>31</v>
      </c>
      <c r="B39" s="143"/>
      <c r="C39" s="140"/>
      <c r="D39" s="8" t="s">
        <v>571</v>
      </c>
      <c r="E39" s="142" t="s">
        <v>713</v>
      </c>
      <c r="F39" s="142"/>
      <c r="G39" s="111"/>
      <c r="H39" s="69"/>
    </row>
    <row r="40" spans="1:8">
      <c r="A40" s="81">
        <v>32</v>
      </c>
      <c r="B40" s="143"/>
      <c r="C40" s="140"/>
      <c r="D40" s="16" t="s">
        <v>601</v>
      </c>
      <c r="E40" s="142" t="s">
        <v>714</v>
      </c>
      <c r="F40" s="142"/>
      <c r="G40" s="111"/>
      <c r="H40" s="69"/>
    </row>
    <row r="41" spans="1:8">
      <c r="A41" s="81">
        <v>33</v>
      </c>
      <c r="B41" s="143"/>
      <c r="C41" s="140"/>
      <c r="D41" s="8" t="s">
        <v>573</v>
      </c>
      <c r="E41" s="142" t="s">
        <v>715</v>
      </c>
      <c r="F41" s="142"/>
      <c r="G41" s="111"/>
      <c r="H41" s="69"/>
    </row>
    <row r="42" spans="1:8">
      <c r="A42" s="81">
        <v>34</v>
      </c>
      <c r="B42" s="143"/>
      <c r="C42" s="140"/>
      <c r="D42" s="8" t="s">
        <v>602</v>
      </c>
      <c r="E42" s="142" t="s">
        <v>716</v>
      </c>
      <c r="F42" s="142"/>
      <c r="G42" s="111"/>
      <c r="H42" s="72"/>
    </row>
    <row r="43" spans="1:8">
      <c r="A43" s="81">
        <v>35</v>
      </c>
      <c r="B43" s="143"/>
      <c r="C43" s="140"/>
      <c r="D43" s="16" t="s">
        <v>603</v>
      </c>
      <c r="E43" s="142" t="s">
        <v>717</v>
      </c>
      <c r="F43" s="142"/>
      <c r="G43" s="111"/>
      <c r="H43" s="72"/>
    </row>
    <row r="44" spans="1:8">
      <c r="A44" s="81">
        <v>36</v>
      </c>
      <c r="B44" s="143"/>
      <c r="C44" s="141"/>
      <c r="D44" s="8" t="s">
        <v>604</v>
      </c>
      <c r="E44" s="142" t="s">
        <v>718</v>
      </c>
      <c r="F44" s="142"/>
      <c r="G44" s="111"/>
      <c r="H44" s="72"/>
    </row>
    <row r="45" spans="1:8">
      <c r="A45" s="81">
        <v>37</v>
      </c>
      <c r="B45" s="143"/>
      <c r="C45" s="139" t="s">
        <v>710</v>
      </c>
      <c r="D45" s="16" t="s">
        <v>572</v>
      </c>
      <c r="E45" s="142" t="s">
        <v>712</v>
      </c>
      <c r="F45" s="142"/>
      <c r="G45" s="111"/>
      <c r="H45" s="81"/>
    </row>
    <row r="46" spans="1:8">
      <c r="A46" s="81">
        <v>38</v>
      </c>
      <c r="B46" s="143"/>
      <c r="C46" s="140"/>
      <c r="D46" s="8" t="s">
        <v>571</v>
      </c>
      <c r="E46" s="142" t="s">
        <v>713</v>
      </c>
      <c r="F46" s="142"/>
      <c r="G46" s="111"/>
      <c r="H46" s="81"/>
    </row>
    <row r="47" spans="1:8">
      <c r="A47" s="81">
        <v>39</v>
      </c>
      <c r="B47" s="143"/>
      <c r="C47" s="140"/>
      <c r="D47" s="16" t="s">
        <v>601</v>
      </c>
      <c r="E47" s="142" t="s">
        <v>714</v>
      </c>
      <c r="F47" s="142"/>
      <c r="G47" s="111"/>
      <c r="H47" s="81"/>
    </row>
    <row r="48" spans="1:8">
      <c r="A48" s="81">
        <v>40</v>
      </c>
      <c r="B48" s="143"/>
      <c r="C48" s="140"/>
      <c r="D48" s="8" t="s">
        <v>573</v>
      </c>
      <c r="E48" s="142" t="s">
        <v>715</v>
      </c>
      <c r="F48" s="142"/>
      <c r="G48" s="111"/>
      <c r="H48" s="81"/>
    </row>
    <row r="49" spans="1:8">
      <c r="A49" s="81">
        <v>41</v>
      </c>
      <c r="B49" s="143"/>
      <c r="C49" s="140"/>
      <c r="D49" s="8" t="s">
        <v>602</v>
      </c>
      <c r="E49" s="142" t="s">
        <v>716</v>
      </c>
      <c r="F49" s="142"/>
      <c r="G49" s="81" t="s">
        <v>433</v>
      </c>
      <c r="H49" s="81" t="s">
        <v>605</v>
      </c>
    </row>
    <row r="50" spans="1:8">
      <c r="A50" s="81">
        <v>42</v>
      </c>
      <c r="B50" s="143"/>
      <c r="C50" s="140"/>
      <c r="D50" s="16" t="s">
        <v>603</v>
      </c>
      <c r="E50" s="142" t="s">
        <v>717</v>
      </c>
      <c r="F50" s="142"/>
      <c r="G50" s="100" t="s">
        <v>433</v>
      </c>
      <c r="H50" s="81" t="s">
        <v>605</v>
      </c>
    </row>
    <row r="51" spans="1:8">
      <c r="A51" s="81">
        <v>43</v>
      </c>
      <c r="B51" s="143"/>
      <c r="C51" s="141"/>
      <c r="D51" s="8" t="s">
        <v>604</v>
      </c>
      <c r="E51" s="142" t="s">
        <v>718</v>
      </c>
      <c r="F51" s="142"/>
      <c r="G51" s="100" t="s">
        <v>433</v>
      </c>
      <c r="H51" s="81" t="s">
        <v>605</v>
      </c>
    </row>
    <row r="52" spans="1:8">
      <c r="A52" s="81">
        <v>44</v>
      </c>
      <c r="B52" s="143"/>
      <c r="C52" s="145" t="s">
        <v>276</v>
      </c>
      <c r="D52" s="8" t="s">
        <v>574</v>
      </c>
      <c r="E52" s="142" t="s">
        <v>588</v>
      </c>
      <c r="F52" s="142"/>
      <c r="G52" s="111"/>
      <c r="H52" s="69"/>
    </row>
    <row r="53" spans="1:8">
      <c r="A53" s="81">
        <v>45</v>
      </c>
      <c r="B53" s="143"/>
      <c r="C53" s="145"/>
      <c r="D53" s="8" t="s">
        <v>575</v>
      </c>
      <c r="E53" s="142" t="s">
        <v>589</v>
      </c>
      <c r="F53" s="142"/>
      <c r="G53" s="111"/>
      <c r="H53" s="69"/>
    </row>
    <row r="54" spans="1:8">
      <c r="A54" s="81">
        <v>46</v>
      </c>
      <c r="B54" s="143"/>
      <c r="C54" s="145"/>
      <c r="D54" s="8" t="s">
        <v>576</v>
      </c>
      <c r="E54" s="142" t="s">
        <v>590</v>
      </c>
      <c r="F54" s="142"/>
      <c r="G54" s="111"/>
      <c r="H54" s="69"/>
    </row>
    <row r="55" spans="1:8">
      <c r="A55" s="81">
        <v>47</v>
      </c>
      <c r="B55" s="143"/>
      <c r="C55" s="145"/>
      <c r="D55" s="8" t="s">
        <v>577</v>
      </c>
      <c r="E55" s="142" t="s">
        <v>591</v>
      </c>
      <c r="F55" s="142"/>
      <c r="G55" s="111"/>
      <c r="H55" s="69"/>
    </row>
    <row r="56" spans="1:8">
      <c r="A56" s="81">
        <v>48</v>
      </c>
      <c r="B56" s="143"/>
      <c r="C56" s="145"/>
      <c r="D56" s="8" t="s">
        <v>578</v>
      </c>
      <c r="E56" s="142" t="s">
        <v>600</v>
      </c>
      <c r="F56" s="142"/>
      <c r="G56" s="111"/>
      <c r="H56" s="69"/>
    </row>
    <row r="57" spans="1:8">
      <c r="A57" s="81">
        <v>49</v>
      </c>
      <c r="B57" s="143"/>
      <c r="C57" s="145"/>
      <c r="D57" s="8" t="s">
        <v>579</v>
      </c>
      <c r="E57" s="142" t="s">
        <v>592</v>
      </c>
      <c r="F57" s="142"/>
      <c r="G57" s="111"/>
      <c r="H57" s="69"/>
    </row>
    <row r="58" spans="1:8">
      <c r="A58" s="81">
        <v>50</v>
      </c>
      <c r="B58" s="143"/>
      <c r="C58" s="145"/>
      <c r="D58" s="8" t="s">
        <v>580</v>
      </c>
      <c r="E58" s="164" t="s">
        <v>593</v>
      </c>
      <c r="F58" s="165"/>
      <c r="G58" s="111"/>
      <c r="H58" s="69"/>
    </row>
    <row r="59" spans="1:8">
      <c r="A59" s="81">
        <v>51</v>
      </c>
      <c r="B59" s="143"/>
      <c r="C59" s="145"/>
      <c r="D59" s="8" t="s">
        <v>581</v>
      </c>
      <c r="E59" s="164" t="s">
        <v>594</v>
      </c>
      <c r="F59" s="165"/>
      <c r="G59" s="111"/>
      <c r="H59" s="69"/>
    </row>
    <row r="60" spans="1:8">
      <c r="A60" s="81">
        <v>52</v>
      </c>
      <c r="B60" s="143"/>
      <c r="C60" s="145"/>
      <c r="D60" s="8" t="s">
        <v>582</v>
      </c>
      <c r="E60" s="142" t="s">
        <v>595</v>
      </c>
      <c r="F60" s="142"/>
      <c r="G60" s="111"/>
      <c r="H60" s="69"/>
    </row>
    <row r="61" spans="1:8">
      <c r="A61" s="81">
        <v>53</v>
      </c>
      <c r="B61" s="143"/>
      <c r="C61" s="145" t="s">
        <v>290</v>
      </c>
      <c r="D61" s="8" t="s">
        <v>584</v>
      </c>
      <c r="E61" s="142" t="s">
        <v>596</v>
      </c>
      <c r="F61" s="142"/>
      <c r="G61" s="111"/>
      <c r="H61" s="71"/>
    </row>
    <row r="62" spans="1:8">
      <c r="A62" s="81">
        <v>54</v>
      </c>
      <c r="B62" s="143"/>
      <c r="C62" s="145"/>
      <c r="D62" s="8" t="s">
        <v>585</v>
      </c>
      <c r="E62" s="142" t="s">
        <v>597</v>
      </c>
      <c r="F62" s="142"/>
      <c r="G62" s="111"/>
      <c r="H62" s="71"/>
    </row>
    <row r="63" spans="1:8">
      <c r="A63" s="81">
        <v>55</v>
      </c>
      <c r="B63" s="143"/>
      <c r="C63" s="145"/>
      <c r="D63" s="8" t="s">
        <v>586</v>
      </c>
      <c r="E63" s="142" t="s">
        <v>598</v>
      </c>
      <c r="F63" s="142"/>
      <c r="G63" s="111"/>
      <c r="H63" s="71"/>
    </row>
    <row r="64" spans="1:8">
      <c r="A64" s="81">
        <v>56</v>
      </c>
      <c r="B64" s="143"/>
      <c r="C64" s="145"/>
      <c r="D64" s="8" t="s">
        <v>583</v>
      </c>
      <c r="E64" s="142" t="s">
        <v>599</v>
      </c>
      <c r="F64" s="142"/>
      <c r="G64" s="111"/>
      <c r="H64" s="71"/>
    </row>
    <row r="65" spans="1:8">
      <c r="A65" s="81">
        <v>57</v>
      </c>
      <c r="B65" s="144"/>
      <c r="C65" s="145"/>
      <c r="D65" s="8" t="s">
        <v>587</v>
      </c>
      <c r="E65" s="142" t="s">
        <v>600</v>
      </c>
      <c r="F65" s="142"/>
      <c r="G65" s="111"/>
      <c r="H65" s="71"/>
    </row>
  </sheetData>
  <mergeCells count="75">
    <mergeCell ref="E64:F64"/>
    <mergeCell ref="E65:F65"/>
    <mergeCell ref="C61:C65"/>
    <mergeCell ref="E59:F59"/>
    <mergeCell ref="E58:F58"/>
    <mergeCell ref="C52:C60"/>
    <mergeCell ref="E63:F63"/>
    <mergeCell ref="E60:F60"/>
    <mergeCell ref="E61:F61"/>
    <mergeCell ref="E52:F52"/>
    <mergeCell ref="E53:F53"/>
    <mergeCell ref="E54:F54"/>
    <mergeCell ref="E55:F55"/>
    <mergeCell ref="E56:F56"/>
    <mergeCell ref="E57:F57"/>
    <mergeCell ref="E21:F21"/>
    <mergeCell ref="E36:F36"/>
    <mergeCell ref="E37:F37"/>
    <mergeCell ref="E62:F62"/>
    <mergeCell ref="E33:F33"/>
    <mergeCell ref="E23:F23"/>
    <mergeCell ref="E24:F24"/>
    <mergeCell ref="E25:F25"/>
    <mergeCell ref="E26:F26"/>
    <mergeCell ref="E27:F27"/>
    <mergeCell ref="C13:C22"/>
    <mergeCell ref="E34:F34"/>
    <mergeCell ref="C23:C37"/>
    <mergeCell ref="E14:F14"/>
    <mergeCell ref="E15:F15"/>
    <mergeCell ref="E16:F16"/>
    <mergeCell ref="E18:F18"/>
    <mergeCell ref="E19:F19"/>
    <mergeCell ref="E35:F35"/>
    <mergeCell ref="E17:F17"/>
    <mergeCell ref="E28:F28"/>
    <mergeCell ref="E29:F29"/>
    <mergeCell ref="E30:F30"/>
    <mergeCell ref="E31:F31"/>
    <mergeCell ref="E32:F32"/>
    <mergeCell ref="E20:F20"/>
    <mergeCell ref="F1:H1"/>
    <mergeCell ref="F4:H4"/>
    <mergeCell ref="F5:H5"/>
    <mergeCell ref="A7:A8"/>
    <mergeCell ref="B7:B8"/>
    <mergeCell ref="C7:C8"/>
    <mergeCell ref="D7:D8"/>
    <mergeCell ref="E7:F8"/>
    <mergeCell ref="G7:G8"/>
    <mergeCell ref="H7:H8"/>
    <mergeCell ref="B9:B65"/>
    <mergeCell ref="E42:F42"/>
    <mergeCell ref="E43:F43"/>
    <mergeCell ref="E44:F44"/>
    <mergeCell ref="C38:C44"/>
    <mergeCell ref="E38:F38"/>
    <mergeCell ref="E39:F39"/>
    <mergeCell ref="E40:F40"/>
    <mergeCell ref="E41:F41"/>
    <mergeCell ref="E22:F22"/>
    <mergeCell ref="E9:F9"/>
    <mergeCell ref="E10:F10"/>
    <mergeCell ref="E11:F11"/>
    <mergeCell ref="E12:F12"/>
    <mergeCell ref="E13:F13"/>
    <mergeCell ref="C9:C12"/>
    <mergeCell ref="C45:C51"/>
    <mergeCell ref="E45:F45"/>
    <mergeCell ref="E46:F46"/>
    <mergeCell ref="E47:F47"/>
    <mergeCell ref="E48:F48"/>
    <mergeCell ref="E49:F49"/>
    <mergeCell ref="E50:F50"/>
    <mergeCell ref="E51:F51"/>
  </mergeCells>
  <phoneticPr fontId="2" type="noConversion"/>
  <conditionalFormatting sqref="G9:G48">
    <cfRule type="cellIs" dxfId="98" priority="977" operator="equal">
      <formula>$G$2</formula>
    </cfRule>
    <cfRule type="cellIs" dxfId="97" priority="984" operator="equal">
      <formula>$F$2</formula>
    </cfRule>
    <cfRule type="cellIs" dxfId="96" priority="983" operator="equal">
      <formula>$G$2</formula>
    </cfRule>
    <cfRule type="cellIs" dxfId="95" priority="982" operator="equal">
      <formula>$H$2</formula>
    </cfRule>
    <cfRule type="cellIs" dxfId="94" priority="981" operator="equal">
      <formula>$F$2</formula>
    </cfRule>
    <cfRule type="cellIs" dxfId="93" priority="980" operator="equal">
      <formula>$G$2</formula>
    </cfRule>
    <cfRule type="cellIs" dxfId="92" priority="979" operator="equal">
      <formula>$H$2</formula>
    </cfRule>
    <cfRule type="cellIs" dxfId="91" priority="978" operator="equal">
      <formula>$F$2</formula>
    </cfRule>
    <cfRule type="cellIs" dxfId="90" priority="976" operator="equal">
      <formula>$H$2</formula>
    </cfRule>
    <cfRule type="cellIs" dxfId="89" priority="636" operator="equal">
      <formula>$F$2</formula>
    </cfRule>
    <cfRule type="cellIs" dxfId="88" priority="635" operator="equal">
      <formula>$G$2</formula>
    </cfRule>
    <cfRule type="cellIs" dxfId="87" priority="634" operator="equal">
      <formula>$H$2</formula>
    </cfRule>
  </conditionalFormatting>
  <conditionalFormatting sqref="G10:G48">
    <cfRule type="cellIs" dxfId="86" priority="632" operator="equal">
      <formula>$G$2</formula>
    </cfRule>
    <cfRule type="cellIs" dxfId="85" priority="478" operator="equal">
      <formula>$H$2</formula>
    </cfRule>
    <cfRule type="cellIs" dxfId="84" priority="630" operator="equal">
      <formula>$F$2</formula>
    </cfRule>
    <cfRule type="cellIs" dxfId="83" priority="629" operator="equal">
      <formula>$G$2</formula>
    </cfRule>
    <cfRule type="cellIs" dxfId="82" priority="628" operator="equal">
      <formula>$H$2</formula>
    </cfRule>
    <cfRule type="cellIs" dxfId="81" priority="480" operator="equal">
      <formula>$F$2</formula>
    </cfRule>
    <cfRule type="cellIs" dxfId="80" priority="479" operator="equal">
      <formula>$G$2</formula>
    </cfRule>
    <cfRule type="cellIs" dxfId="79" priority="631" operator="equal">
      <formula>$H$2</formula>
    </cfRule>
    <cfRule type="cellIs" dxfId="78" priority="633" operator="equal">
      <formula>$F$2</formula>
    </cfRule>
  </conditionalFormatting>
  <conditionalFormatting sqref="G13">
    <cfRule type="cellIs" dxfId="77" priority="476" operator="equal">
      <formula>$G$2</formula>
    </cfRule>
    <cfRule type="cellIs" dxfId="76" priority="407" operator="equal">
      <formula>$G$2</formula>
    </cfRule>
    <cfRule type="cellIs" dxfId="75" priority="408" operator="equal">
      <formula>$F$2</formula>
    </cfRule>
    <cfRule type="cellIs" dxfId="74" priority="472" operator="equal">
      <formula>$H$2</formula>
    </cfRule>
    <cfRule type="cellIs" dxfId="73" priority="473" operator="equal">
      <formula>$G$2</formula>
    </cfRule>
    <cfRule type="cellIs" dxfId="72" priority="474" operator="equal">
      <formula>$F$2</formula>
    </cfRule>
    <cfRule type="cellIs" dxfId="71" priority="475" operator="equal">
      <formula>$H$2</formula>
    </cfRule>
    <cfRule type="cellIs" dxfId="70" priority="477" operator="equal">
      <formula>$F$2</formula>
    </cfRule>
    <cfRule type="cellIs" dxfId="69" priority="406" operator="equal">
      <formula>$H$2</formula>
    </cfRule>
  </conditionalFormatting>
  <conditionalFormatting sqref="G13:G15">
    <cfRule type="cellIs" dxfId="68" priority="4" operator="equal">
      <formula>$H$2</formula>
    </cfRule>
    <cfRule type="cellIs" dxfId="67" priority="5" operator="equal">
      <formula>$G$2</formula>
    </cfRule>
    <cfRule type="cellIs" dxfId="66" priority="6" operator="equal">
      <formula>$F$2</formula>
    </cfRule>
  </conditionalFormatting>
  <conditionalFormatting sqref="G16:G65">
    <cfRule type="cellIs" dxfId="65" priority="30" operator="equal">
      <formula>$F$2</formula>
    </cfRule>
    <cfRule type="cellIs" dxfId="64" priority="29" operator="equal">
      <formula>$G$2</formula>
    </cfRule>
    <cfRule type="cellIs" dxfId="63" priority="28" operator="equal">
      <formula>$H$2</formula>
    </cfRule>
  </conditionalFormatting>
  <conditionalFormatting sqref="G17">
    <cfRule type="cellIs" dxfId="62" priority="1" operator="equal">
      <formula>$H$2</formula>
    </cfRule>
    <cfRule type="cellIs" dxfId="61" priority="2" operator="equal">
      <formula>$G$2</formula>
    </cfRule>
    <cfRule type="cellIs" dxfId="60" priority="3" operator="equal">
      <formula>$F$2</formula>
    </cfRule>
  </conditionalFormatting>
  <conditionalFormatting sqref="G52:G65">
    <cfRule type="cellIs" dxfId="59" priority="7" operator="equal">
      <formula>$H$2</formula>
    </cfRule>
    <cfRule type="cellIs" dxfId="58" priority="9" operator="equal">
      <formula>$F$2</formula>
    </cfRule>
    <cfRule type="cellIs" dxfId="57" priority="24" operator="equal">
      <formula>$F$2</formula>
    </cfRule>
    <cfRule type="cellIs" dxfId="56" priority="27" operator="equal">
      <formula>$F$2</formula>
    </cfRule>
    <cfRule type="cellIs" dxfId="55" priority="26" operator="equal">
      <formula>$G$2</formula>
    </cfRule>
    <cfRule type="cellIs" dxfId="54" priority="25" operator="equal">
      <formula>$H$2</formula>
    </cfRule>
    <cfRule type="cellIs" dxfId="53" priority="23" operator="equal">
      <formula>$G$2</formula>
    </cfRule>
    <cfRule type="cellIs" dxfId="52" priority="22" operator="equal">
      <formula>$H$2</formula>
    </cfRule>
    <cfRule type="cellIs" dxfId="51" priority="21" operator="equal">
      <formula>$F$2</formula>
    </cfRule>
    <cfRule type="cellIs" dxfId="50" priority="20" operator="equal">
      <formula>$G$2</formula>
    </cfRule>
    <cfRule type="cellIs" dxfId="49" priority="19" operator="equal">
      <formula>$H$2</formula>
    </cfRule>
    <cfRule type="cellIs" dxfId="48" priority="18" operator="equal">
      <formula>$F$2</formula>
    </cfRule>
    <cfRule type="cellIs" dxfId="47" priority="17" operator="equal">
      <formula>$G$2</formula>
    </cfRule>
    <cfRule type="cellIs" dxfId="46" priority="8" operator="equal">
      <formula>$G$2</formula>
    </cfRule>
    <cfRule type="cellIs" dxfId="45" priority="16" operator="equal">
      <formula>$H$2</formula>
    </cfRule>
    <cfRule type="cellIs" dxfId="44" priority="15" operator="equal">
      <formula>$F$2</formula>
    </cfRule>
    <cfRule type="cellIs" dxfId="43" priority="14" operator="equal">
      <formula>$G$2</formula>
    </cfRule>
    <cfRule type="cellIs" dxfId="42" priority="13" operator="equal">
      <formula>$H$2</formula>
    </cfRule>
    <cfRule type="cellIs" dxfId="41" priority="12" operator="equal">
      <formula>$F$2</formula>
    </cfRule>
    <cfRule type="cellIs" dxfId="40" priority="11" operator="equal">
      <formula>$G$2</formula>
    </cfRule>
    <cfRule type="cellIs" dxfId="39" priority="10" operator="equal">
      <formula>$H$2</formula>
    </cfRule>
  </conditionalFormatting>
  <dataValidations count="1">
    <dataValidation type="list" allowBlank="1" showInputMessage="1" showErrorMessage="1" sqref="G9:G65" xr:uid="{7D97F065-0893-4538-93E2-8543438FC963}">
      <formula1>$F$2:$H$2</formula1>
    </dataValidation>
  </dataValidations>
  <pageMargins left="0.7" right="0.7" top="0.75" bottom="0.75" header="0.3" footer="0.3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F438-158B-43EC-96A8-68B6A7F6CCB1}">
  <sheetPr>
    <pageSetUpPr fitToPage="1"/>
  </sheetPr>
  <dimension ref="A1:H57"/>
  <sheetViews>
    <sheetView zoomScaleNormal="100" workbookViewId="0">
      <selection activeCell="G35" sqref="G35:G57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46"/>
      <c r="G1" s="146"/>
      <c r="H1" s="146"/>
    </row>
    <row r="2" spans="1:8" ht="16.5" customHeight="1">
      <c r="A2" s="65"/>
      <c r="B2" s="34" t="s">
        <v>31</v>
      </c>
      <c r="C2" s="35" t="s">
        <v>539</v>
      </c>
      <c r="D2" s="67" t="s">
        <v>485</v>
      </c>
      <c r="F2" s="29" t="s">
        <v>32</v>
      </c>
      <c r="G2" s="30" t="s">
        <v>33</v>
      </c>
      <c r="H2" s="31" t="s">
        <v>34</v>
      </c>
    </row>
    <row r="3" spans="1:8">
      <c r="A3" s="65"/>
      <c r="B3" s="32" t="s">
        <v>116</v>
      </c>
      <c r="C3" s="33" t="str">
        <f>(표지!C6)</f>
        <v>1.4.13.43</v>
      </c>
      <c r="D3" s="167" t="s">
        <v>699</v>
      </c>
      <c r="F3" s="32" t="str">
        <f>IF(G2&lt;&gt;"", TEXT(COUNTIF(G9:G9942, "*" &amp; F2 &amp; "*") / COUNTA(A9:A942), "0.0%"), "")</f>
        <v>0.0%</v>
      </c>
      <c r="G3" s="66" t="str">
        <f>IF(G2&lt;&gt;"", TEXT(COUNTIF(G9:G9943, "*" &amp; G2 &amp; "*") / COUNTA(A9:A9943), "0.0%"), "")</f>
        <v>0.0%</v>
      </c>
      <c r="H3" s="33" t="str">
        <f>IF(H2&lt;&gt;"", TEXT(COUNTIF(G9:G9943, "*" &amp; H2 &amp; "*") / COUNTA(A9:A9943), "0.0%"), "")</f>
        <v>6.1%</v>
      </c>
    </row>
    <row r="4" spans="1:8">
      <c r="A4" s="65"/>
      <c r="B4" s="32" t="s">
        <v>117</v>
      </c>
      <c r="C4" s="80">
        <v>46239</v>
      </c>
      <c r="D4" s="168"/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(표지!D13)</f>
        <v>정충영</v>
      </c>
      <c r="D5" s="169"/>
      <c r="F5" s="150" t="str">
        <f>TEXT(COUNTA(G9:G9942) / COUNTA(A9:A9943), "0.0%")</f>
        <v>6.1%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 s="9" customFormat="1">
      <c r="A9" s="64">
        <v>1</v>
      </c>
      <c r="B9" s="166" t="s">
        <v>293</v>
      </c>
      <c r="C9" s="145" t="s">
        <v>284</v>
      </c>
      <c r="D9" s="16" t="s">
        <v>291</v>
      </c>
      <c r="E9" s="142" t="s">
        <v>394</v>
      </c>
      <c r="F9" s="142"/>
      <c r="G9" s="64" t="s">
        <v>433</v>
      </c>
      <c r="H9" s="64" t="s">
        <v>755</v>
      </c>
    </row>
    <row r="10" spans="1:8" s="9" customFormat="1">
      <c r="A10" s="64">
        <v>2</v>
      </c>
      <c r="B10" s="166"/>
      <c r="C10" s="145"/>
      <c r="D10" s="16" t="s">
        <v>285</v>
      </c>
      <c r="E10" s="142" t="s">
        <v>288</v>
      </c>
      <c r="F10" s="142"/>
      <c r="G10" s="64" t="s">
        <v>433</v>
      </c>
      <c r="H10" s="92" t="s">
        <v>755</v>
      </c>
    </row>
    <row r="11" spans="1:8" s="9" customFormat="1">
      <c r="A11" s="64">
        <v>3</v>
      </c>
      <c r="B11" s="166"/>
      <c r="C11" s="145" t="s">
        <v>292</v>
      </c>
      <c r="D11" s="16" t="s">
        <v>222</v>
      </c>
      <c r="E11" s="142" t="s">
        <v>395</v>
      </c>
      <c r="F11" s="142"/>
      <c r="G11" s="100"/>
      <c r="H11" s="64"/>
    </row>
    <row r="12" spans="1:8" s="9" customFormat="1">
      <c r="A12" s="64">
        <v>4</v>
      </c>
      <c r="B12" s="166"/>
      <c r="C12" s="145"/>
      <c r="D12" s="16" t="s">
        <v>223</v>
      </c>
      <c r="E12" s="142" t="s">
        <v>396</v>
      </c>
      <c r="F12" s="142"/>
      <c r="G12" s="111"/>
      <c r="H12" s="64"/>
    </row>
    <row r="13" spans="1:8" s="9" customFormat="1">
      <c r="A13" s="64">
        <v>5</v>
      </c>
      <c r="B13" s="166"/>
      <c r="C13" s="145"/>
      <c r="D13" s="16" t="s">
        <v>224</v>
      </c>
      <c r="E13" s="142" t="s">
        <v>289</v>
      </c>
      <c r="F13" s="142"/>
      <c r="G13" s="111"/>
      <c r="H13" s="64"/>
    </row>
    <row r="14" spans="1:8" s="9" customFormat="1">
      <c r="A14" s="64">
        <v>6</v>
      </c>
      <c r="B14" s="166"/>
      <c r="C14" s="145"/>
      <c r="D14" s="16" t="s">
        <v>225</v>
      </c>
      <c r="E14" s="142" t="s">
        <v>397</v>
      </c>
      <c r="F14" s="142"/>
      <c r="G14" s="111"/>
      <c r="H14" s="64"/>
    </row>
    <row r="15" spans="1:8" s="9" customFormat="1" ht="16.5" customHeight="1">
      <c r="A15" s="64">
        <v>7</v>
      </c>
      <c r="B15" s="166"/>
      <c r="C15" s="145"/>
      <c r="D15" s="16" t="s">
        <v>505</v>
      </c>
      <c r="E15" s="142" t="s">
        <v>507</v>
      </c>
      <c r="F15" s="142"/>
      <c r="G15" s="111"/>
      <c r="H15" s="64"/>
    </row>
    <row r="16" spans="1:8" s="9" customFormat="1">
      <c r="A16" s="64">
        <v>8</v>
      </c>
      <c r="B16" s="166"/>
      <c r="C16" s="145"/>
      <c r="D16" s="16" t="s">
        <v>506</v>
      </c>
      <c r="E16" s="142" t="s">
        <v>508</v>
      </c>
      <c r="F16" s="142"/>
      <c r="G16" s="111"/>
      <c r="H16" s="64"/>
    </row>
    <row r="17" spans="1:8" s="9" customFormat="1">
      <c r="A17" s="64">
        <v>9</v>
      </c>
      <c r="B17" s="166"/>
      <c r="C17" s="145" t="s">
        <v>283</v>
      </c>
      <c r="D17" s="16" t="s">
        <v>509</v>
      </c>
      <c r="E17" s="142" t="s">
        <v>510</v>
      </c>
      <c r="F17" s="142"/>
      <c r="G17" s="111"/>
      <c r="H17" s="64"/>
    </row>
    <row r="18" spans="1:8" s="9" customFormat="1">
      <c r="A18" s="64">
        <v>10</v>
      </c>
      <c r="B18" s="166"/>
      <c r="C18" s="145"/>
      <c r="D18" s="16" t="s">
        <v>511</v>
      </c>
      <c r="E18" s="142" t="s">
        <v>510</v>
      </c>
      <c r="F18" s="142"/>
      <c r="G18" s="111"/>
      <c r="H18" s="64"/>
    </row>
    <row r="19" spans="1:8" s="9" customFormat="1">
      <c r="A19" s="64">
        <v>11</v>
      </c>
      <c r="B19" s="166"/>
      <c r="C19" s="145"/>
      <c r="D19" s="16" t="s">
        <v>512</v>
      </c>
      <c r="E19" s="142" t="s">
        <v>510</v>
      </c>
      <c r="F19" s="142"/>
      <c r="G19" s="111"/>
      <c r="H19" s="64"/>
    </row>
    <row r="20" spans="1:8" s="9" customFormat="1">
      <c r="A20" s="64">
        <v>12</v>
      </c>
      <c r="B20" s="166"/>
      <c r="C20" s="145"/>
      <c r="D20" s="16" t="s">
        <v>513</v>
      </c>
      <c r="E20" s="142" t="s">
        <v>510</v>
      </c>
      <c r="F20" s="142"/>
      <c r="G20" s="111"/>
      <c r="H20" s="79"/>
    </row>
    <row r="21" spans="1:8" s="9" customFormat="1">
      <c r="A21" s="64">
        <v>13</v>
      </c>
      <c r="B21" s="166"/>
      <c r="C21" s="145" t="s">
        <v>275</v>
      </c>
      <c r="D21" s="16" t="s">
        <v>286</v>
      </c>
      <c r="E21" s="142" t="s">
        <v>398</v>
      </c>
      <c r="F21" s="142"/>
      <c r="G21" s="111"/>
      <c r="H21" s="64"/>
    </row>
    <row r="22" spans="1:8" s="9" customFormat="1">
      <c r="A22" s="64">
        <v>14</v>
      </c>
      <c r="B22" s="166"/>
      <c r="C22" s="145"/>
      <c r="D22" s="16" t="s">
        <v>520</v>
      </c>
      <c r="E22" s="142" t="s">
        <v>398</v>
      </c>
      <c r="F22" s="142"/>
      <c r="G22" s="105"/>
      <c r="H22" s="64"/>
    </row>
    <row r="23" spans="1:8" s="9" customFormat="1">
      <c r="A23" s="64">
        <v>15</v>
      </c>
      <c r="B23" s="166"/>
      <c r="C23" s="145"/>
      <c r="D23" s="16" t="s">
        <v>463</v>
      </c>
      <c r="E23" s="142" t="s">
        <v>756</v>
      </c>
      <c r="F23" s="142"/>
      <c r="G23" s="111"/>
      <c r="H23" s="64"/>
    </row>
    <row r="24" spans="1:8" s="9" customFormat="1">
      <c r="A24" s="64">
        <v>16</v>
      </c>
      <c r="B24" s="166"/>
      <c r="C24" s="145"/>
      <c r="D24" s="16" t="s">
        <v>287</v>
      </c>
      <c r="E24" s="142" t="s">
        <v>399</v>
      </c>
      <c r="F24" s="142"/>
      <c r="G24" s="111"/>
      <c r="H24" s="64"/>
    </row>
    <row r="25" spans="1:8" s="9" customFormat="1">
      <c r="A25" s="64">
        <v>17</v>
      </c>
      <c r="B25" s="166"/>
      <c r="C25" s="145" t="s">
        <v>276</v>
      </c>
      <c r="D25" s="16" t="s">
        <v>521</v>
      </c>
      <c r="E25" s="142" t="s">
        <v>523</v>
      </c>
      <c r="F25" s="142"/>
      <c r="G25" s="111"/>
      <c r="H25" s="64"/>
    </row>
    <row r="26" spans="1:8" s="9" customFormat="1">
      <c r="A26" s="64">
        <v>18</v>
      </c>
      <c r="B26" s="166"/>
      <c r="C26" s="145"/>
      <c r="D26" s="16" t="s">
        <v>522</v>
      </c>
      <c r="E26" s="142" t="s">
        <v>524</v>
      </c>
      <c r="F26" s="142"/>
      <c r="G26" s="111"/>
      <c r="H26" s="64"/>
    </row>
    <row r="27" spans="1:8" s="9" customFormat="1">
      <c r="A27" s="64">
        <v>19</v>
      </c>
      <c r="B27" s="166"/>
      <c r="C27" s="145"/>
      <c r="D27" s="16" t="s">
        <v>525</v>
      </c>
      <c r="E27" s="142" t="s">
        <v>529</v>
      </c>
      <c r="F27" s="142"/>
      <c r="G27" s="111"/>
      <c r="H27" s="64"/>
    </row>
    <row r="28" spans="1:8" s="9" customFormat="1" ht="16.5" customHeight="1">
      <c r="A28" s="64">
        <v>20</v>
      </c>
      <c r="B28" s="166"/>
      <c r="C28" s="145"/>
      <c r="D28" s="16" t="s">
        <v>527</v>
      </c>
      <c r="E28" s="142" t="s">
        <v>530</v>
      </c>
      <c r="F28" s="142"/>
      <c r="G28" s="111"/>
      <c r="H28" s="64"/>
    </row>
    <row r="29" spans="1:8" s="9" customFormat="1">
      <c r="A29" s="64">
        <v>21</v>
      </c>
      <c r="B29" s="166"/>
      <c r="C29" s="145"/>
      <c r="D29" s="16" t="s">
        <v>531</v>
      </c>
      <c r="E29" s="142" t="s">
        <v>532</v>
      </c>
      <c r="F29" s="142"/>
      <c r="G29" s="111"/>
      <c r="H29" s="64"/>
    </row>
    <row r="30" spans="1:8">
      <c r="A30" s="64">
        <v>22</v>
      </c>
      <c r="B30" s="166"/>
      <c r="C30" s="145"/>
      <c r="D30" s="16" t="s">
        <v>533</v>
      </c>
      <c r="E30" s="142" t="s">
        <v>534</v>
      </c>
      <c r="F30" s="142"/>
      <c r="G30" s="111"/>
      <c r="H30" s="64"/>
    </row>
    <row r="31" spans="1:8">
      <c r="A31" s="64">
        <v>23</v>
      </c>
      <c r="B31" s="166"/>
      <c r="C31" s="145" t="s">
        <v>290</v>
      </c>
      <c r="D31" s="16" t="s">
        <v>526</v>
      </c>
      <c r="E31" s="142" t="s">
        <v>398</v>
      </c>
      <c r="F31" s="142"/>
      <c r="G31" s="111"/>
      <c r="H31" s="64"/>
    </row>
    <row r="32" spans="1:8">
      <c r="A32" s="64">
        <v>24</v>
      </c>
      <c r="B32" s="166"/>
      <c r="C32" s="145"/>
      <c r="D32" s="16" t="s">
        <v>528</v>
      </c>
      <c r="E32" s="142" t="s">
        <v>398</v>
      </c>
      <c r="F32" s="142"/>
      <c r="G32" s="111"/>
      <c r="H32" s="64"/>
    </row>
    <row r="33" spans="1:8">
      <c r="A33" s="64">
        <v>25</v>
      </c>
      <c r="B33" s="166"/>
      <c r="C33" s="145"/>
      <c r="D33" s="16" t="s">
        <v>535</v>
      </c>
      <c r="E33" s="142" t="s">
        <v>398</v>
      </c>
      <c r="F33" s="142"/>
      <c r="G33" s="111"/>
      <c r="H33" s="64"/>
    </row>
    <row r="34" spans="1:8">
      <c r="A34" s="64">
        <v>26</v>
      </c>
      <c r="B34" s="145" t="s">
        <v>475</v>
      </c>
      <c r="C34" s="166" t="s">
        <v>490</v>
      </c>
      <c r="D34" s="16" t="s">
        <v>478</v>
      </c>
      <c r="E34" s="142" t="s">
        <v>479</v>
      </c>
      <c r="F34" s="142"/>
      <c r="G34" s="100" t="s">
        <v>433</v>
      </c>
      <c r="H34" s="64" t="s">
        <v>709</v>
      </c>
    </row>
    <row r="35" spans="1:8">
      <c r="A35" s="64">
        <v>27</v>
      </c>
      <c r="B35" s="145"/>
      <c r="C35" s="145"/>
      <c r="D35" s="16" t="s">
        <v>482</v>
      </c>
      <c r="E35" s="142" t="s">
        <v>480</v>
      </c>
      <c r="F35" s="142"/>
      <c r="G35" s="111"/>
      <c r="H35" s="79"/>
    </row>
    <row r="36" spans="1:8">
      <c r="A36" s="64">
        <v>28</v>
      </c>
      <c r="B36" s="145"/>
      <c r="C36" s="145"/>
      <c r="D36" s="16" t="s">
        <v>502</v>
      </c>
      <c r="E36" s="142" t="s">
        <v>481</v>
      </c>
      <c r="F36" s="142"/>
      <c r="G36" s="111"/>
      <c r="H36" s="64"/>
    </row>
    <row r="37" spans="1:8">
      <c r="A37" s="64">
        <v>29</v>
      </c>
      <c r="B37" s="145"/>
      <c r="C37" s="145"/>
      <c r="D37" s="16" t="s">
        <v>486</v>
      </c>
      <c r="E37" s="142" t="s">
        <v>483</v>
      </c>
      <c r="F37" s="142"/>
      <c r="G37" s="111"/>
      <c r="H37" s="64"/>
    </row>
    <row r="38" spans="1:8">
      <c r="A38" s="64">
        <v>30</v>
      </c>
      <c r="B38" s="145"/>
      <c r="C38" s="145"/>
      <c r="D38" s="16" t="s">
        <v>487</v>
      </c>
      <c r="E38" s="142" t="s">
        <v>488</v>
      </c>
      <c r="F38" s="142"/>
      <c r="G38" s="111"/>
      <c r="H38" s="64"/>
    </row>
    <row r="39" spans="1:8">
      <c r="A39" s="64">
        <v>31</v>
      </c>
      <c r="B39" s="145"/>
      <c r="C39" s="145"/>
      <c r="D39" s="16" t="s">
        <v>503</v>
      </c>
      <c r="E39" s="142" t="s">
        <v>484</v>
      </c>
      <c r="F39" s="142"/>
      <c r="G39" s="111"/>
      <c r="H39" s="64"/>
    </row>
    <row r="40" spans="1:8">
      <c r="A40" s="64">
        <v>32</v>
      </c>
      <c r="B40" s="145"/>
      <c r="C40" s="166" t="s">
        <v>489</v>
      </c>
      <c r="D40" s="16" t="s">
        <v>281</v>
      </c>
      <c r="E40" s="142" t="s">
        <v>479</v>
      </c>
      <c r="F40" s="142"/>
      <c r="G40" s="111"/>
      <c r="H40" s="64"/>
    </row>
    <row r="41" spans="1:8" ht="16.5" customHeight="1">
      <c r="A41" s="64">
        <v>33</v>
      </c>
      <c r="B41" s="145"/>
      <c r="C41" s="166"/>
      <c r="D41" s="16" t="s">
        <v>493</v>
      </c>
      <c r="E41" s="142" t="s">
        <v>483</v>
      </c>
      <c r="F41" s="142"/>
      <c r="G41" s="111"/>
      <c r="H41" s="64"/>
    </row>
    <row r="42" spans="1:8" ht="16.5" customHeight="1">
      <c r="A42" s="64">
        <v>34</v>
      </c>
      <c r="B42" s="145"/>
      <c r="C42" s="166"/>
      <c r="D42" s="16" t="s">
        <v>494</v>
      </c>
      <c r="E42" s="142" t="s">
        <v>488</v>
      </c>
      <c r="F42" s="142"/>
      <c r="G42" s="111"/>
      <c r="H42" s="64"/>
    </row>
    <row r="43" spans="1:8">
      <c r="A43" s="64">
        <v>35</v>
      </c>
      <c r="B43" s="145"/>
      <c r="C43" s="166"/>
      <c r="D43" s="16" t="s">
        <v>497</v>
      </c>
      <c r="E43" s="142" t="s">
        <v>498</v>
      </c>
      <c r="F43" s="142"/>
      <c r="G43" s="111"/>
      <c r="H43" s="64"/>
    </row>
    <row r="44" spans="1:8">
      <c r="A44" s="64">
        <v>36</v>
      </c>
      <c r="B44" s="145"/>
      <c r="C44" s="166"/>
      <c r="D44" s="16" t="s">
        <v>492</v>
      </c>
      <c r="E44" s="142" t="s">
        <v>499</v>
      </c>
      <c r="F44" s="142"/>
      <c r="G44" s="111"/>
      <c r="H44" s="64"/>
    </row>
    <row r="45" spans="1:8">
      <c r="A45" s="64">
        <v>37</v>
      </c>
      <c r="B45" s="145"/>
      <c r="C45" s="166"/>
      <c r="D45" s="16" t="s">
        <v>495</v>
      </c>
      <c r="E45" s="142" t="s">
        <v>500</v>
      </c>
      <c r="F45" s="142"/>
      <c r="G45" s="111"/>
      <c r="H45" s="64"/>
    </row>
    <row r="46" spans="1:8">
      <c r="A46" s="64">
        <v>38</v>
      </c>
      <c r="B46" s="145"/>
      <c r="C46" s="166"/>
      <c r="D46" s="16" t="s">
        <v>496</v>
      </c>
      <c r="E46" s="142" t="s">
        <v>501</v>
      </c>
      <c r="F46" s="142"/>
      <c r="G46" s="111"/>
      <c r="H46" s="64"/>
    </row>
    <row r="47" spans="1:8">
      <c r="A47" s="64">
        <v>39</v>
      </c>
      <c r="B47" s="145"/>
      <c r="C47" s="166" t="s">
        <v>504</v>
      </c>
      <c r="D47" s="16" t="s">
        <v>282</v>
      </c>
      <c r="E47" s="142" t="s">
        <v>479</v>
      </c>
      <c r="F47" s="142"/>
      <c r="G47" s="111"/>
      <c r="H47" s="98"/>
    </row>
    <row r="48" spans="1:8">
      <c r="A48" s="64">
        <v>40</v>
      </c>
      <c r="B48" s="145"/>
      <c r="C48" s="166"/>
      <c r="D48" s="16" t="s">
        <v>536</v>
      </c>
      <c r="E48" s="142" t="s">
        <v>483</v>
      </c>
      <c r="F48" s="142"/>
      <c r="G48" s="111"/>
      <c r="H48" s="98"/>
    </row>
    <row r="49" spans="1:8">
      <c r="A49" s="64">
        <v>41</v>
      </c>
      <c r="B49" s="145"/>
      <c r="C49" s="166"/>
      <c r="D49" s="16" t="s">
        <v>491</v>
      </c>
      <c r="E49" s="142" t="s">
        <v>488</v>
      </c>
      <c r="F49" s="142"/>
      <c r="G49" s="111"/>
      <c r="H49" s="98"/>
    </row>
    <row r="50" spans="1:8">
      <c r="A50" s="64">
        <v>42</v>
      </c>
      <c r="B50" s="145"/>
      <c r="C50" s="166"/>
      <c r="D50" s="16" t="s">
        <v>514</v>
      </c>
      <c r="E50" s="142" t="s">
        <v>498</v>
      </c>
      <c r="F50" s="142"/>
      <c r="G50" s="111"/>
      <c r="H50" s="98"/>
    </row>
    <row r="51" spans="1:8">
      <c r="A51" s="64">
        <v>43</v>
      </c>
      <c r="B51" s="145"/>
      <c r="C51" s="166"/>
      <c r="D51" s="16" t="s">
        <v>515</v>
      </c>
      <c r="E51" s="142" t="s">
        <v>499</v>
      </c>
      <c r="F51" s="142"/>
      <c r="G51" s="111"/>
      <c r="H51" s="98"/>
    </row>
    <row r="52" spans="1:8">
      <c r="A52" s="64">
        <v>44</v>
      </c>
      <c r="B52" s="145"/>
      <c r="C52" s="166"/>
      <c r="D52" s="16" t="s">
        <v>516</v>
      </c>
      <c r="E52" s="142" t="s">
        <v>500</v>
      </c>
      <c r="F52" s="142"/>
      <c r="G52" s="111"/>
      <c r="H52" s="98"/>
    </row>
    <row r="53" spans="1:8">
      <c r="A53" s="64">
        <v>45</v>
      </c>
      <c r="B53" s="145"/>
      <c r="C53" s="166"/>
      <c r="D53" s="16" t="s">
        <v>537</v>
      </c>
      <c r="E53" s="142" t="s">
        <v>483</v>
      </c>
      <c r="F53" s="142"/>
      <c r="G53" s="111"/>
      <c r="H53" s="98"/>
    </row>
    <row r="54" spans="1:8">
      <c r="A54" s="64">
        <v>46</v>
      </c>
      <c r="B54" s="145"/>
      <c r="C54" s="166"/>
      <c r="D54" s="16" t="s">
        <v>538</v>
      </c>
      <c r="E54" s="142" t="s">
        <v>488</v>
      </c>
      <c r="F54" s="142"/>
      <c r="G54" s="111"/>
      <c r="H54" s="98"/>
    </row>
    <row r="55" spans="1:8">
      <c r="A55" s="64">
        <v>47</v>
      </c>
      <c r="B55" s="145"/>
      <c r="C55" s="166"/>
      <c r="D55" s="16" t="s">
        <v>517</v>
      </c>
      <c r="E55" s="142" t="s">
        <v>498</v>
      </c>
      <c r="F55" s="142"/>
      <c r="G55" s="111"/>
      <c r="H55" s="98"/>
    </row>
    <row r="56" spans="1:8">
      <c r="A56" s="64">
        <v>48</v>
      </c>
      <c r="B56" s="145"/>
      <c r="C56" s="166"/>
      <c r="D56" s="16" t="s">
        <v>518</v>
      </c>
      <c r="E56" s="142" t="s">
        <v>499</v>
      </c>
      <c r="F56" s="142"/>
      <c r="G56" s="111"/>
      <c r="H56" s="98"/>
    </row>
    <row r="57" spans="1:8">
      <c r="A57" s="64">
        <v>49</v>
      </c>
      <c r="B57" s="145"/>
      <c r="C57" s="166"/>
      <c r="D57" s="16" t="s">
        <v>519</v>
      </c>
      <c r="E57" s="142" t="s">
        <v>500</v>
      </c>
      <c r="F57" s="142"/>
      <c r="G57" s="111"/>
      <c r="H57" s="98"/>
    </row>
  </sheetData>
  <mergeCells count="71">
    <mergeCell ref="A7:A8"/>
    <mergeCell ref="B7:B8"/>
    <mergeCell ref="C7:C8"/>
    <mergeCell ref="D7:D8"/>
    <mergeCell ref="E7:F8"/>
    <mergeCell ref="F1:H1"/>
    <mergeCell ref="D3:D5"/>
    <mergeCell ref="F4:H4"/>
    <mergeCell ref="F5:H5"/>
    <mergeCell ref="G7:G8"/>
    <mergeCell ref="E21:F21"/>
    <mergeCell ref="E23:F23"/>
    <mergeCell ref="H7:H8"/>
    <mergeCell ref="E12:F12"/>
    <mergeCell ref="E13:F13"/>
    <mergeCell ref="E16:F16"/>
    <mergeCell ref="E22:F22"/>
    <mergeCell ref="C9:C10"/>
    <mergeCell ref="E34:F34"/>
    <mergeCell ref="E35:F35"/>
    <mergeCell ref="E36:F36"/>
    <mergeCell ref="E38:F38"/>
    <mergeCell ref="E27:F27"/>
    <mergeCell ref="E29:F29"/>
    <mergeCell ref="E30:F30"/>
    <mergeCell ref="E32:F32"/>
    <mergeCell ref="E33:F33"/>
    <mergeCell ref="E14:F14"/>
    <mergeCell ref="E15:F15"/>
    <mergeCell ref="E17:F17"/>
    <mergeCell ref="E18:F18"/>
    <mergeCell ref="E25:F25"/>
    <mergeCell ref="E26:F26"/>
    <mergeCell ref="C34:C39"/>
    <mergeCell ref="E48:F48"/>
    <mergeCell ref="C40:C46"/>
    <mergeCell ref="C47:C57"/>
    <mergeCell ref="E53:F53"/>
    <mergeCell ref="E46:F46"/>
    <mergeCell ref="E41:F41"/>
    <mergeCell ref="E55:F55"/>
    <mergeCell ref="E57:F57"/>
    <mergeCell ref="E39:F39"/>
    <mergeCell ref="E42:F42"/>
    <mergeCell ref="E45:F45"/>
    <mergeCell ref="E49:F49"/>
    <mergeCell ref="E50:F50"/>
    <mergeCell ref="E52:F52"/>
    <mergeCell ref="E54:F54"/>
    <mergeCell ref="B34:B57"/>
    <mergeCell ref="E24:F24"/>
    <mergeCell ref="C21:C24"/>
    <mergeCell ref="E28:F28"/>
    <mergeCell ref="C25:C30"/>
    <mergeCell ref="C31:C33"/>
    <mergeCell ref="B9:B33"/>
    <mergeCell ref="E9:F9"/>
    <mergeCell ref="E10:F10"/>
    <mergeCell ref="E11:F11"/>
    <mergeCell ref="C11:C16"/>
    <mergeCell ref="C17:C20"/>
    <mergeCell ref="E19:F19"/>
    <mergeCell ref="E20:F20"/>
    <mergeCell ref="E43:F43"/>
    <mergeCell ref="E56:F56"/>
    <mergeCell ref="E31:F31"/>
    <mergeCell ref="E37:F37"/>
    <mergeCell ref="E47:F47"/>
    <mergeCell ref="E40:F40"/>
    <mergeCell ref="E51:F51"/>
    <mergeCell ref="E44:F44"/>
  </mergeCells>
  <phoneticPr fontId="2" type="noConversion"/>
  <conditionalFormatting sqref="G9:G57">
    <cfRule type="cellIs" dxfId="38" priority="139" operator="equal">
      <formula>$H$2</formula>
    </cfRule>
    <cfRule type="cellIs" dxfId="37" priority="140" operator="equal">
      <formula>$G$2</formula>
    </cfRule>
    <cfRule type="cellIs" dxfId="36" priority="141" operator="equal">
      <formula>$F$2</formula>
    </cfRule>
  </conditionalFormatting>
  <conditionalFormatting sqref="G34">
    <cfRule type="cellIs" dxfId="35" priority="22" operator="equal">
      <formula>$H$2</formula>
    </cfRule>
    <cfRule type="cellIs" dxfId="34" priority="23" operator="equal">
      <formula>$G$2</formula>
    </cfRule>
    <cfRule type="cellIs" dxfId="33" priority="24" operator="equal">
      <formula>$F$2</formula>
    </cfRule>
  </conditionalFormatting>
  <dataValidations count="1">
    <dataValidation type="list" allowBlank="1" showInputMessage="1" showErrorMessage="1" sqref="G9:G57" xr:uid="{86A6F985-5328-49B1-BBB0-E6A586AF316D}">
      <formula1>$F$2:$H$2</formula1>
    </dataValidation>
  </dataValidations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3"/>
  <sheetViews>
    <sheetView zoomScaleNormal="100" zoomScaleSheetLayoutView="100" workbookViewId="0">
      <selection activeCell="H52" sqref="H52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71"/>
      <c r="G1" s="171"/>
      <c r="H1" s="171"/>
    </row>
    <row r="2" spans="1:8">
      <c r="A2" s="25"/>
      <c r="B2" s="34" t="s">
        <v>31</v>
      </c>
      <c r="C2" s="103" t="s">
        <v>780</v>
      </c>
      <c r="F2" s="29" t="s">
        <v>32</v>
      </c>
      <c r="G2" s="30" t="s">
        <v>33</v>
      </c>
      <c r="H2" s="31" t="s">
        <v>34</v>
      </c>
    </row>
    <row r="3" spans="1:8">
      <c r="A3" s="25"/>
      <c r="B3" s="32" t="s">
        <v>116</v>
      </c>
      <c r="C3" s="33" t="str">
        <f>(표지!C6)</f>
        <v>1.4.13.43</v>
      </c>
      <c r="F3" s="32" t="str">
        <f>IF(G2&lt;&gt;"", TEXT(COUNTIF(G9:G9957, "*" &amp; F2 &amp; "*") / COUNTA(A9:A957), "0.0%"), "")</f>
        <v>0.0%</v>
      </c>
      <c r="G3" s="26" t="str">
        <f>IF(G2&lt;&gt;"", TEXT(COUNTIF(G9:G9958, "*" &amp; G2 &amp; "*") / COUNTA(A9:A9958), "0.0%"), "")</f>
        <v>0.0%</v>
      </c>
      <c r="H3" s="33" t="str">
        <f>IF(H2&lt;&gt;"", TEXT(COUNTIF(G9:G9958, "*" &amp; H2 &amp; "*") / COUNTA(A9:A9958), "0.0%"), "")</f>
        <v>0.0%</v>
      </c>
    </row>
    <row r="4" spans="1:8">
      <c r="A4" s="25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(표지!D15)</f>
        <v>김현상</v>
      </c>
      <c r="F5" s="150" t="str">
        <f>TEXT(COUNTA(G9:G9957) / COUNTA(A9:A9958),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>
      <c r="A9" s="23">
        <v>1</v>
      </c>
      <c r="B9" s="145" t="s">
        <v>75</v>
      </c>
      <c r="C9" s="145" t="s">
        <v>70</v>
      </c>
      <c r="D9" s="8" t="s">
        <v>37</v>
      </c>
      <c r="E9" s="164" t="s">
        <v>617</v>
      </c>
      <c r="F9" s="165"/>
      <c r="G9" s="112"/>
      <c r="H9" s="23"/>
    </row>
    <row r="10" spans="1:8">
      <c r="A10" s="23">
        <v>2</v>
      </c>
      <c r="B10" s="145"/>
      <c r="C10" s="145"/>
      <c r="D10" s="8" t="s">
        <v>38</v>
      </c>
      <c r="E10" s="164" t="s">
        <v>618</v>
      </c>
      <c r="F10" s="165"/>
      <c r="G10" s="112"/>
      <c r="H10" s="23"/>
    </row>
    <row r="11" spans="1:8">
      <c r="A11" s="84">
        <v>3</v>
      </c>
      <c r="B11" s="145"/>
      <c r="C11" s="145"/>
      <c r="D11" s="8" t="s">
        <v>39</v>
      </c>
      <c r="E11" s="164" t="s">
        <v>77</v>
      </c>
      <c r="F11" s="165"/>
      <c r="G11" s="112"/>
      <c r="H11" s="23"/>
    </row>
    <row r="12" spans="1:8">
      <c r="A12" s="84">
        <v>4</v>
      </c>
      <c r="B12" s="145"/>
      <c r="C12" s="145"/>
      <c r="D12" s="8" t="s">
        <v>57</v>
      </c>
      <c r="E12" s="164" t="s">
        <v>620</v>
      </c>
      <c r="F12" s="165"/>
      <c r="G12" s="112"/>
      <c r="H12" s="23"/>
    </row>
    <row r="13" spans="1:8">
      <c r="A13" s="84">
        <v>5</v>
      </c>
      <c r="B13" s="145"/>
      <c r="C13" s="145"/>
      <c r="D13" s="8" t="s">
        <v>40</v>
      </c>
      <c r="E13" s="164" t="s">
        <v>619</v>
      </c>
      <c r="F13" s="165"/>
      <c r="G13" s="112"/>
      <c r="H13" s="23"/>
    </row>
    <row r="14" spans="1:8">
      <c r="A14" s="84">
        <v>6</v>
      </c>
      <c r="B14" s="145"/>
      <c r="C14" s="145"/>
      <c r="D14" s="8" t="s">
        <v>41</v>
      </c>
      <c r="E14" s="164" t="s">
        <v>621</v>
      </c>
      <c r="F14" s="165"/>
      <c r="G14" s="112"/>
      <c r="H14" s="23"/>
    </row>
    <row r="15" spans="1:8">
      <c r="A15" s="84">
        <v>7</v>
      </c>
      <c r="B15" s="145"/>
      <c r="C15" s="145"/>
      <c r="D15" s="8" t="s">
        <v>42</v>
      </c>
      <c r="E15" s="164" t="s">
        <v>623</v>
      </c>
      <c r="F15" s="165"/>
      <c r="G15" s="112"/>
      <c r="H15" s="23"/>
    </row>
    <row r="16" spans="1:8">
      <c r="A16" s="84">
        <v>8</v>
      </c>
      <c r="B16" s="145"/>
      <c r="C16" s="145"/>
      <c r="D16" s="8" t="s">
        <v>43</v>
      </c>
      <c r="E16" s="164" t="s">
        <v>622</v>
      </c>
      <c r="F16" s="165"/>
      <c r="G16" s="112"/>
      <c r="H16" s="23"/>
    </row>
    <row r="17" spans="1:8">
      <c r="A17" s="84">
        <v>9</v>
      </c>
      <c r="B17" s="145"/>
      <c r="C17" s="145"/>
      <c r="D17" s="8" t="s">
        <v>44</v>
      </c>
      <c r="E17" s="164" t="s">
        <v>624</v>
      </c>
      <c r="F17" s="165"/>
      <c r="G17" s="112"/>
      <c r="H17" s="23"/>
    </row>
    <row r="18" spans="1:8">
      <c r="A18" s="84">
        <v>10</v>
      </c>
      <c r="B18" s="145"/>
      <c r="C18" s="145" t="s">
        <v>71</v>
      </c>
      <c r="D18" s="8" t="s">
        <v>45</v>
      </c>
      <c r="E18" s="164" t="s">
        <v>606</v>
      </c>
      <c r="F18" s="165"/>
      <c r="G18" s="112"/>
      <c r="H18" s="23"/>
    </row>
    <row r="19" spans="1:8">
      <c r="A19" s="84">
        <v>11</v>
      </c>
      <c r="B19" s="145"/>
      <c r="C19" s="145"/>
      <c r="D19" s="8" t="s">
        <v>53</v>
      </c>
      <c r="E19" s="164" t="s">
        <v>615</v>
      </c>
      <c r="F19" s="165"/>
      <c r="G19" s="112"/>
      <c r="H19" s="81"/>
    </row>
    <row r="20" spans="1:8">
      <c r="A20" s="84">
        <v>12</v>
      </c>
      <c r="B20" s="145"/>
      <c r="C20" s="145"/>
      <c r="D20" s="8" t="s">
        <v>46</v>
      </c>
      <c r="E20" s="164" t="s">
        <v>607</v>
      </c>
      <c r="F20" s="165"/>
      <c r="G20" s="112"/>
      <c r="H20" s="23"/>
    </row>
    <row r="21" spans="1:8">
      <c r="A21" s="84">
        <v>13</v>
      </c>
      <c r="B21" s="145"/>
      <c r="C21" s="145"/>
      <c r="D21" s="8" t="s">
        <v>78</v>
      </c>
      <c r="E21" s="164" t="s">
        <v>614</v>
      </c>
      <c r="F21" s="165"/>
      <c r="G21" s="112"/>
      <c r="H21" s="81"/>
    </row>
    <row r="22" spans="1:8">
      <c r="A22" s="84">
        <v>14</v>
      </c>
      <c r="B22" s="145"/>
      <c r="C22" s="145"/>
      <c r="D22" s="8" t="s">
        <v>54</v>
      </c>
      <c r="E22" s="164" t="s">
        <v>616</v>
      </c>
      <c r="F22" s="165"/>
      <c r="G22" s="113"/>
      <c r="H22" s="81"/>
    </row>
    <row r="23" spans="1:8">
      <c r="A23" s="84">
        <v>15</v>
      </c>
      <c r="B23" s="145"/>
      <c r="C23" s="145"/>
      <c r="D23" s="8" t="s">
        <v>47</v>
      </c>
      <c r="E23" s="164" t="s">
        <v>608</v>
      </c>
      <c r="F23" s="165"/>
      <c r="G23" s="113"/>
      <c r="H23" s="23"/>
    </row>
    <row r="24" spans="1:8">
      <c r="A24" s="84">
        <v>16</v>
      </c>
      <c r="B24" s="145"/>
      <c r="C24" s="145"/>
      <c r="D24" s="8" t="s">
        <v>48</v>
      </c>
      <c r="E24" s="164" t="s">
        <v>609</v>
      </c>
      <c r="F24" s="165"/>
      <c r="G24" s="113"/>
      <c r="H24" s="23"/>
    </row>
    <row r="25" spans="1:8">
      <c r="A25" s="84">
        <v>17</v>
      </c>
      <c r="B25" s="145"/>
      <c r="C25" s="145"/>
      <c r="D25" s="8" t="s">
        <v>49</v>
      </c>
      <c r="E25" s="164" t="s">
        <v>610</v>
      </c>
      <c r="F25" s="165"/>
      <c r="G25" s="113"/>
      <c r="H25" s="23"/>
    </row>
    <row r="26" spans="1:8">
      <c r="A26" s="84">
        <v>18</v>
      </c>
      <c r="B26" s="145"/>
      <c r="C26" s="145"/>
      <c r="D26" s="8" t="s">
        <v>50</v>
      </c>
      <c r="E26" s="164" t="s">
        <v>611</v>
      </c>
      <c r="F26" s="165"/>
      <c r="G26" s="113"/>
      <c r="H26" s="23"/>
    </row>
    <row r="27" spans="1:8">
      <c r="A27" s="84">
        <v>19</v>
      </c>
      <c r="B27" s="145"/>
      <c r="C27" s="145"/>
      <c r="D27" s="8" t="s">
        <v>51</v>
      </c>
      <c r="E27" s="164" t="s">
        <v>612</v>
      </c>
      <c r="F27" s="165"/>
      <c r="G27" s="113"/>
      <c r="H27" s="23"/>
    </row>
    <row r="28" spans="1:8">
      <c r="A28" s="84">
        <v>20</v>
      </c>
      <c r="B28" s="145"/>
      <c r="C28" s="145"/>
      <c r="D28" s="8" t="s">
        <v>52</v>
      </c>
      <c r="E28" s="164" t="s">
        <v>613</v>
      </c>
      <c r="F28" s="165"/>
      <c r="G28" s="113"/>
      <c r="H28" s="23"/>
    </row>
    <row r="29" spans="1:8">
      <c r="A29" s="84">
        <v>21</v>
      </c>
      <c r="B29" s="145"/>
      <c r="C29" s="145" t="s">
        <v>73</v>
      </c>
      <c r="D29" s="8" t="s">
        <v>65</v>
      </c>
      <c r="E29" s="164" t="s">
        <v>325</v>
      </c>
      <c r="F29" s="165"/>
      <c r="G29" s="113"/>
      <c r="H29" s="23"/>
    </row>
    <row r="30" spans="1:8">
      <c r="A30" s="84">
        <v>22</v>
      </c>
      <c r="B30" s="145"/>
      <c r="C30" s="145"/>
      <c r="D30" s="8" t="s">
        <v>66</v>
      </c>
      <c r="E30" s="164" t="s">
        <v>326</v>
      </c>
      <c r="F30" s="165"/>
      <c r="G30" s="113"/>
      <c r="H30" s="23"/>
    </row>
    <row r="31" spans="1:8">
      <c r="A31" s="84">
        <v>23</v>
      </c>
      <c r="B31" s="145"/>
      <c r="C31" s="145"/>
      <c r="D31" s="8" t="s">
        <v>67</v>
      </c>
      <c r="E31" s="164" t="s">
        <v>158</v>
      </c>
      <c r="F31" s="165"/>
      <c r="G31" s="113"/>
      <c r="H31" s="23"/>
    </row>
    <row r="32" spans="1:8">
      <c r="A32" s="84">
        <v>24</v>
      </c>
      <c r="B32" s="145"/>
      <c r="C32" s="145"/>
      <c r="D32" s="8" t="s">
        <v>68</v>
      </c>
      <c r="E32" s="164" t="s">
        <v>327</v>
      </c>
      <c r="F32" s="165"/>
      <c r="G32" s="113"/>
      <c r="H32" s="23"/>
    </row>
    <row r="33" spans="1:8">
      <c r="A33" s="84">
        <v>25</v>
      </c>
      <c r="B33" s="145"/>
      <c r="C33" s="145" t="s">
        <v>72</v>
      </c>
      <c r="D33" s="8" t="s">
        <v>55</v>
      </c>
      <c r="E33" s="164" t="s">
        <v>328</v>
      </c>
      <c r="F33" s="165"/>
      <c r="G33" s="113"/>
      <c r="H33" s="23"/>
    </row>
    <row r="34" spans="1:8">
      <c r="A34" s="84">
        <v>26</v>
      </c>
      <c r="B34" s="145"/>
      <c r="C34" s="145"/>
      <c r="D34" s="8" t="s">
        <v>56</v>
      </c>
      <c r="E34" s="164" t="s">
        <v>329</v>
      </c>
      <c r="F34" s="165"/>
      <c r="G34" s="113"/>
      <c r="H34" s="23"/>
    </row>
    <row r="35" spans="1:8">
      <c r="A35" s="84">
        <v>27</v>
      </c>
      <c r="B35" s="145"/>
      <c r="C35" s="145"/>
      <c r="D35" s="8" t="s">
        <v>79</v>
      </c>
      <c r="E35" s="164" t="s">
        <v>330</v>
      </c>
      <c r="F35" s="165"/>
      <c r="G35" s="113"/>
      <c r="H35" s="23"/>
    </row>
    <row r="36" spans="1:8">
      <c r="A36" s="84">
        <v>28</v>
      </c>
      <c r="B36" s="145"/>
      <c r="C36" s="145"/>
      <c r="D36" s="8" t="s">
        <v>80</v>
      </c>
      <c r="E36" s="164" t="s">
        <v>331</v>
      </c>
      <c r="F36" s="165"/>
      <c r="G36" s="113"/>
      <c r="H36" s="23"/>
    </row>
    <row r="37" spans="1:8">
      <c r="A37" s="84">
        <v>29</v>
      </c>
      <c r="B37" s="145"/>
      <c r="C37" s="145"/>
      <c r="D37" s="8" t="s">
        <v>58</v>
      </c>
      <c r="E37" s="164" t="s">
        <v>332</v>
      </c>
      <c r="F37" s="165"/>
      <c r="G37" s="113"/>
      <c r="H37" s="23"/>
    </row>
    <row r="38" spans="1:8">
      <c r="A38" s="84">
        <v>30</v>
      </c>
      <c r="B38" s="145"/>
      <c r="C38" s="145"/>
      <c r="D38" s="8" t="s">
        <v>59</v>
      </c>
      <c r="E38" s="164" t="s">
        <v>333</v>
      </c>
      <c r="F38" s="165"/>
      <c r="G38" s="113"/>
      <c r="H38" s="23"/>
    </row>
    <row r="39" spans="1:8">
      <c r="A39" s="84">
        <v>31</v>
      </c>
      <c r="B39" s="145"/>
      <c r="C39" s="145"/>
      <c r="D39" s="8" t="s">
        <v>60</v>
      </c>
      <c r="E39" s="164" t="s">
        <v>334</v>
      </c>
      <c r="F39" s="165"/>
      <c r="G39" s="113"/>
      <c r="H39" s="23"/>
    </row>
    <row r="40" spans="1:8">
      <c r="A40" s="84">
        <v>32</v>
      </c>
      <c r="B40" s="145"/>
      <c r="C40" s="145"/>
      <c r="D40" s="8" t="s">
        <v>61</v>
      </c>
      <c r="E40" s="164" t="s">
        <v>335</v>
      </c>
      <c r="F40" s="165"/>
      <c r="G40" s="113"/>
      <c r="H40" s="23"/>
    </row>
    <row r="41" spans="1:8">
      <c r="A41" s="84">
        <v>33</v>
      </c>
      <c r="B41" s="145"/>
      <c r="C41" s="145"/>
      <c r="D41" s="8" t="s">
        <v>81</v>
      </c>
      <c r="E41" s="164" t="s">
        <v>336</v>
      </c>
      <c r="F41" s="165"/>
      <c r="G41" s="113"/>
      <c r="H41" s="23"/>
    </row>
    <row r="42" spans="1:8">
      <c r="A42" s="84">
        <v>34</v>
      </c>
      <c r="B42" s="145"/>
      <c r="C42" s="145"/>
      <c r="D42" s="8" t="s">
        <v>82</v>
      </c>
      <c r="E42" s="164" t="s">
        <v>337</v>
      </c>
      <c r="F42" s="165"/>
      <c r="G42" s="113"/>
      <c r="H42" s="23"/>
    </row>
    <row r="43" spans="1:8">
      <c r="A43" s="84">
        <v>35</v>
      </c>
      <c r="B43" s="145"/>
      <c r="C43" s="145"/>
      <c r="D43" s="8" t="s">
        <v>62</v>
      </c>
      <c r="E43" s="164" t="s">
        <v>338</v>
      </c>
      <c r="F43" s="165"/>
      <c r="G43" s="113"/>
      <c r="H43" s="23"/>
    </row>
    <row r="44" spans="1:8">
      <c r="A44" s="84">
        <v>36</v>
      </c>
      <c r="B44" s="145"/>
      <c r="C44" s="145"/>
      <c r="D44" s="8" t="s">
        <v>63</v>
      </c>
      <c r="E44" s="164" t="s">
        <v>83</v>
      </c>
      <c r="F44" s="165"/>
      <c r="G44" s="113"/>
      <c r="H44" s="23"/>
    </row>
    <row r="45" spans="1:8">
      <c r="A45" s="84">
        <v>37</v>
      </c>
      <c r="B45" s="145"/>
      <c r="C45" s="145"/>
      <c r="D45" s="8" t="s">
        <v>64</v>
      </c>
      <c r="E45" s="164" t="s">
        <v>339</v>
      </c>
      <c r="F45" s="165"/>
      <c r="G45" s="113"/>
      <c r="H45" s="23"/>
    </row>
    <row r="46" spans="1:8">
      <c r="A46" s="84">
        <v>38</v>
      </c>
      <c r="B46" s="145"/>
      <c r="C46" s="145" t="s">
        <v>74</v>
      </c>
      <c r="D46" s="8" t="s">
        <v>84</v>
      </c>
      <c r="E46" s="164" t="s">
        <v>725</v>
      </c>
      <c r="F46" s="165"/>
      <c r="G46" s="113"/>
      <c r="H46" s="23"/>
    </row>
    <row r="47" spans="1:8">
      <c r="A47" s="84">
        <v>39</v>
      </c>
      <c r="B47" s="145"/>
      <c r="C47" s="145"/>
      <c r="D47" s="8" t="s">
        <v>625</v>
      </c>
      <c r="E47" s="164" t="s">
        <v>726</v>
      </c>
      <c r="F47" s="165"/>
      <c r="G47" s="113"/>
      <c r="H47" s="23"/>
    </row>
    <row r="48" spans="1:8">
      <c r="A48" s="84">
        <v>40</v>
      </c>
      <c r="B48" s="145"/>
      <c r="C48" s="145"/>
      <c r="D48" s="8" t="s">
        <v>626</v>
      </c>
      <c r="E48" s="164" t="s">
        <v>724</v>
      </c>
      <c r="F48" s="165"/>
      <c r="G48" s="113"/>
      <c r="H48" s="23"/>
    </row>
    <row r="49" spans="1:8">
      <c r="A49" s="84">
        <v>41</v>
      </c>
      <c r="B49" s="145"/>
      <c r="C49" s="145"/>
      <c r="D49" s="8" t="s">
        <v>627</v>
      </c>
      <c r="E49" s="164" t="s">
        <v>727</v>
      </c>
      <c r="F49" s="165"/>
      <c r="G49" s="113"/>
      <c r="H49" s="23"/>
    </row>
    <row r="50" spans="1:8">
      <c r="A50" s="84">
        <v>42</v>
      </c>
      <c r="B50" s="145"/>
      <c r="C50" s="145"/>
      <c r="D50" s="8" t="s">
        <v>628</v>
      </c>
      <c r="E50" s="164" t="s">
        <v>728</v>
      </c>
      <c r="F50" s="165"/>
      <c r="G50" s="113"/>
      <c r="H50" s="23"/>
    </row>
    <row r="51" spans="1:8">
      <c r="A51" s="84">
        <v>43</v>
      </c>
      <c r="B51" s="145"/>
      <c r="C51" s="145"/>
      <c r="D51" s="8" t="s">
        <v>630</v>
      </c>
      <c r="E51" s="164" t="s">
        <v>727</v>
      </c>
      <c r="F51" s="165"/>
      <c r="G51" s="113"/>
      <c r="H51" s="23"/>
    </row>
    <row r="52" spans="1:8">
      <c r="A52" s="84">
        <v>44</v>
      </c>
      <c r="B52" s="145"/>
      <c r="C52" s="170" t="s">
        <v>36</v>
      </c>
      <c r="D52" s="8" t="s">
        <v>629</v>
      </c>
      <c r="E52" s="164" t="s">
        <v>340</v>
      </c>
      <c r="F52" s="165"/>
      <c r="G52" s="113"/>
      <c r="H52" s="73"/>
    </row>
    <row r="53" spans="1:8">
      <c r="A53" s="84">
        <v>45</v>
      </c>
      <c r="B53" s="145"/>
      <c r="C53" s="141"/>
      <c r="D53" s="8" t="s">
        <v>69</v>
      </c>
      <c r="E53" s="164" t="s">
        <v>340</v>
      </c>
      <c r="F53" s="165"/>
      <c r="G53" s="113"/>
      <c r="H53" s="23"/>
    </row>
  </sheetData>
  <mergeCells count="62">
    <mergeCell ref="E15:F15"/>
    <mergeCell ref="E16:F16"/>
    <mergeCell ref="E17:F17"/>
    <mergeCell ref="A7:A8"/>
    <mergeCell ref="B7:B8"/>
    <mergeCell ref="C7:C8"/>
    <mergeCell ref="D7:D8"/>
    <mergeCell ref="E7:F8"/>
    <mergeCell ref="E14:F14"/>
    <mergeCell ref="E9:F9"/>
    <mergeCell ref="E10:F10"/>
    <mergeCell ref="E11:F11"/>
    <mergeCell ref="E12:F12"/>
    <mergeCell ref="E13:F13"/>
    <mergeCell ref="B9:B53"/>
    <mergeCell ref="C9:C17"/>
    <mergeCell ref="F1:H1"/>
    <mergeCell ref="F4:H4"/>
    <mergeCell ref="F5:H5"/>
    <mergeCell ref="G7:G8"/>
    <mergeCell ref="H7:H8"/>
    <mergeCell ref="E18:F18"/>
    <mergeCell ref="E20:F20"/>
    <mergeCell ref="E19:F19"/>
    <mergeCell ref="E29:F29"/>
    <mergeCell ref="E30:F30"/>
    <mergeCell ref="E27:F27"/>
    <mergeCell ref="E28:F28"/>
    <mergeCell ref="E23:F23"/>
    <mergeCell ref="E24:F24"/>
    <mergeCell ref="E25:F25"/>
    <mergeCell ref="E26:F26"/>
    <mergeCell ref="E21:F21"/>
    <mergeCell ref="E22:F22"/>
    <mergeCell ref="C18:C28"/>
    <mergeCell ref="C29:C32"/>
    <mergeCell ref="C33:C45"/>
    <mergeCell ref="C46:C51"/>
    <mergeCell ref="C52:C53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9:F49"/>
    <mergeCell ref="E50:F50"/>
    <mergeCell ref="E51:F51"/>
    <mergeCell ref="E53:F53"/>
    <mergeCell ref="E43:F43"/>
    <mergeCell ref="E44:F44"/>
    <mergeCell ref="E45:F45"/>
    <mergeCell ref="E46:F46"/>
    <mergeCell ref="E47:F47"/>
    <mergeCell ref="E48:F48"/>
    <mergeCell ref="E52:F52"/>
  </mergeCells>
  <phoneticPr fontId="2" type="noConversion"/>
  <conditionalFormatting sqref="G9:G53">
    <cfRule type="cellIs" dxfId="32" priority="1" operator="equal">
      <formula>$H$2</formula>
    </cfRule>
    <cfRule type="cellIs" dxfId="31" priority="2" operator="equal">
      <formula>$G$2</formula>
    </cfRule>
    <cfRule type="cellIs" dxfId="30" priority="3" operator="equal">
      <formula>$F$2</formula>
    </cfRule>
  </conditionalFormatting>
  <dataValidations count="1">
    <dataValidation type="list" allowBlank="1" showInputMessage="1" showErrorMessage="1" sqref="G9:G53" xr:uid="{332485C2-C01E-4868-B8B0-8ED67DA406D5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zoomScaleNormal="100" workbookViewId="0">
      <selection activeCell="G60" sqref="G60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71"/>
      <c r="G1" s="171"/>
      <c r="H1" s="171"/>
    </row>
    <row r="2" spans="1:8">
      <c r="A2" s="5"/>
      <c r="B2" s="34" t="s">
        <v>31</v>
      </c>
      <c r="C2" s="49" t="s">
        <v>721</v>
      </c>
      <c r="F2" s="29" t="s">
        <v>32</v>
      </c>
      <c r="G2" s="30" t="s">
        <v>33</v>
      </c>
      <c r="H2" s="31" t="s">
        <v>34</v>
      </c>
    </row>
    <row r="3" spans="1:8">
      <c r="A3" s="5"/>
      <c r="B3" s="32" t="s">
        <v>116</v>
      </c>
      <c r="C3" s="33" t="str">
        <f>(표지!C6)</f>
        <v>1.4.13.43</v>
      </c>
      <c r="F3" s="32" t="str">
        <f>IF(G2&lt;&gt;"", TEXT(COUNTIF(G9:G9945, "*" &amp; F2 &amp; "*") / COUNTA(A9:A945), "0.0%"), "")</f>
        <v>0.0%</v>
      </c>
      <c r="G3" s="26" t="str">
        <f>IF(G2&lt;&gt;"", TEXT(COUNTIF(G9:G9946, "*" &amp; G2 &amp; "*") / COUNTA(A9:A9946), "0.0%"), "")</f>
        <v>0.0%</v>
      </c>
      <c r="H3" s="33" t="str">
        <f>IF(H2&lt;&gt;"", TEXT(COUNTIF(G9:G9946, "*" &amp; H2 &amp; "*") / COUNTA(A9:A9946), "0.0%"), "")</f>
        <v>0.0%</v>
      </c>
    </row>
    <row r="4" spans="1:8">
      <c r="A4" s="5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(표지!D16)</f>
        <v>김현상</v>
      </c>
      <c r="F5" s="150" t="str">
        <f>TEXT(COUNTA(G9:G9945) / COUNTA(A9:A9946),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>
      <c r="A9" s="3">
        <v>1</v>
      </c>
      <c r="B9" s="176" t="s">
        <v>162</v>
      </c>
      <c r="C9" s="175" t="s">
        <v>98</v>
      </c>
      <c r="D9" s="13" t="s">
        <v>92</v>
      </c>
      <c r="E9" s="172" t="s">
        <v>101</v>
      </c>
      <c r="F9" s="173"/>
      <c r="G9" s="112"/>
      <c r="H9" s="23"/>
    </row>
    <row r="10" spans="1:8">
      <c r="A10" s="28">
        <v>2</v>
      </c>
      <c r="B10" s="177"/>
      <c r="C10" s="175"/>
      <c r="D10" s="13" t="s">
        <v>102</v>
      </c>
      <c r="E10" s="172" t="s">
        <v>101</v>
      </c>
      <c r="F10" s="173"/>
      <c r="G10" s="112"/>
      <c r="H10" s="23"/>
    </row>
    <row r="11" spans="1:8">
      <c r="A11" s="76">
        <v>3</v>
      </c>
      <c r="B11" s="177"/>
      <c r="C11" s="175"/>
      <c r="D11" s="13" t="s">
        <v>93</v>
      </c>
      <c r="E11" s="172" t="s">
        <v>101</v>
      </c>
      <c r="F11" s="173"/>
      <c r="G11" s="112"/>
      <c r="H11" s="23"/>
    </row>
    <row r="12" spans="1:8">
      <c r="A12" s="76">
        <v>4</v>
      </c>
      <c r="B12" s="177"/>
      <c r="C12" s="175"/>
      <c r="D12" s="13" t="s">
        <v>104</v>
      </c>
      <c r="E12" s="172" t="s">
        <v>342</v>
      </c>
      <c r="F12" s="173"/>
      <c r="G12" s="112"/>
      <c r="H12" s="23"/>
    </row>
    <row r="13" spans="1:8">
      <c r="A13" s="76">
        <v>5</v>
      </c>
      <c r="B13" s="177"/>
      <c r="C13" s="175"/>
      <c r="D13" s="13" t="s">
        <v>106</v>
      </c>
      <c r="E13" s="172" t="s">
        <v>101</v>
      </c>
      <c r="F13" s="173"/>
      <c r="G13" s="112"/>
      <c r="H13" s="23"/>
    </row>
    <row r="14" spans="1:8">
      <c r="A14" s="76">
        <v>6</v>
      </c>
      <c r="B14" s="177"/>
      <c r="C14" s="175"/>
      <c r="D14" s="13" t="s">
        <v>94</v>
      </c>
      <c r="E14" s="172" t="s">
        <v>101</v>
      </c>
      <c r="F14" s="173"/>
      <c r="G14" s="112"/>
      <c r="H14" s="23"/>
    </row>
    <row r="15" spans="1:8">
      <c r="A15" s="76">
        <v>7</v>
      </c>
      <c r="B15" s="177"/>
      <c r="C15" s="175" t="s">
        <v>99</v>
      </c>
      <c r="D15" s="13" t="s">
        <v>95</v>
      </c>
      <c r="E15" s="172" t="s">
        <v>341</v>
      </c>
      <c r="F15" s="173"/>
      <c r="G15" s="112"/>
      <c r="H15" s="102"/>
    </row>
    <row r="16" spans="1:8">
      <c r="A16" s="76">
        <v>8</v>
      </c>
      <c r="B16" s="177"/>
      <c r="C16" s="175"/>
      <c r="D16" s="13" t="s">
        <v>103</v>
      </c>
      <c r="E16" s="172" t="s">
        <v>341</v>
      </c>
      <c r="F16" s="173"/>
      <c r="G16" s="112"/>
      <c r="H16" s="102"/>
    </row>
    <row r="17" spans="1:8">
      <c r="A17" s="76">
        <v>9</v>
      </c>
      <c r="B17" s="177"/>
      <c r="C17" s="175"/>
      <c r="D17" s="13" t="s">
        <v>96</v>
      </c>
      <c r="E17" s="172" t="s">
        <v>343</v>
      </c>
      <c r="F17" s="173"/>
      <c r="G17" s="112"/>
      <c r="H17" s="102"/>
    </row>
    <row r="18" spans="1:8">
      <c r="A18" s="76">
        <v>10</v>
      </c>
      <c r="B18" s="177"/>
      <c r="C18" s="175"/>
      <c r="D18" s="13" t="s">
        <v>105</v>
      </c>
      <c r="E18" s="172" t="s">
        <v>341</v>
      </c>
      <c r="F18" s="173"/>
      <c r="G18" s="112"/>
      <c r="H18" s="102"/>
    </row>
    <row r="19" spans="1:8">
      <c r="A19" s="76">
        <v>11</v>
      </c>
      <c r="B19" s="177"/>
      <c r="C19" s="175"/>
      <c r="D19" s="13" t="s">
        <v>107</v>
      </c>
      <c r="E19" s="172" t="s">
        <v>101</v>
      </c>
      <c r="F19" s="173"/>
      <c r="G19" s="112"/>
      <c r="H19" s="102"/>
    </row>
    <row r="20" spans="1:8">
      <c r="A20" s="76">
        <v>12</v>
      </c>
      <c r="B20" s="177"/>
      <c r="C20" s="175"/>
      <c r="D20" s="13" t="s">
        <v>97</v>
      </c>
      <c r="E20" s="172" t="s">
        <v>101</v>
      </c>
      <c r="F20" s="173"/>
      <c r="G20" s="112"/>
      <c r="H20" s="102"/>
    </row>
    <row r="21" spans="1:8">
      <c r="A21" s="76">
        <v>13</v>
      </c>
      <c r="B21" s="177"/>
      <c r="C21" s="175" t="s">
        <v>100</v>
      </c>
      <c r="D21" s="13" t="s">
        <v>631</v>
      </c>
      <c r="E21" s="172" t="s">
        <v>633</v>
      </c>
      <c r="F21" s="173"/>
      <c r="G21" s="112"/>
      <c r="H21" s="23"/>
    </row>
    <row r="22" spans="1:8">
      <c r="A22" s="76">
        <v>14</v>
      </c>
      <c r="B22" s="177"/>
      <c r="C22" s="175"/>
      <c r="D22" s="13" t="s">
        <v>767</v>
      </c>
      <c r="E22" s="172" t="s">
        <v>723</v>
      </c>
      <c r="F22" s="173"/>
      <c r="G22" s="112"/>
      <c r="H22" s="74"/>
    </row>
    <row r="23" spans="1:8">
      <c r="A23" s="76">
        <v>15</v>
      </c>
      <c r="B23" s="177"/>
      <c r="C23" s="175"/>
      <c r="D23" s="13" t="s">
        <v>634</v>
      </c>
      <c r="E23" s="172" t="s">
        <v>632</v>
      </c>
      <c r="F23" s="173"/>
      <c r="G23" s="112"/>
      <c r="H23" s="23"/>
    </row>
    <row r="24" spans="1:8">
      <c r="A24" s="76">
        <v>16</v>
      </c>
      <c r="B24" s="177"/>
      <c r="C24" s="175"/>
      <c r="D24" s="13" t="s">
        <v>635</v>
      </c>
      <c r="E24" s="172" t="s">
        <v>344</v>
      </c>
      <c r="F24" s="173"/>
      <c r="G24" s="112"/>
      <c r="H24" s="23"/>
    </row>
    <row r="25" spans="1:8">
      <c r="A25" s="76">
        <v>17</v>
      </c>
      <c r="B25" s="177"/>
      <c r="C25" s="175" t="s">
        <v>85</v>
      </c>
      <c r="D25" s="13" t="s">
        <v>238</v>
      </c>
      <c r="E25" s="172" t="s">
        <v>164</v>
      </c>
      <c r="F25" s="173"/>
      <c r="G25" s="112"/>
      <c r="H25" s="23"/>
    </row>
    <row r="26" spans="1:8">
      <c r="A26" s="76">
        <v>18</v>
      </c>
      <c r="B26" s="177"/>
      <c r="C26" s="175"/>
      <c r="D26" s="13" t="s">
        <v>239</v>
      </c>
      <c r="E26" s="172" t="s">
        <v>165</v>
      </c>
      <c r="F26" s="173"/>
      <c r="G26" s="112"/>
      <c r="H26" s="23"/>
    </row>
    <row r="27" spans="1:8">
      <c r="A27" s="76">
        <v>19</v>
      </c>
      <c r="B27" s="177"/>
      <c r="C27" s="175" t="s">
        <v>88</v>
      </c>
      <c r="D27" s="13" t="s">
        <v>657</v>
      </c>
      <c r="E27" s="172" t="s">
        <v>345</v>
      </c>
      <c r="F27" s="173"/>
      <c r="G27" s="112"/>
      <c r="H27" s="23"/>
    </row>
    <row r="28" spans="1:8">
      <c r="A28" s="76">
        <v>20</v>
      </c>
      <c r="B28" s="177"/>
      <c r="C28" s="175"/>
      <c r="D28" s="13" t="s">
        <v>89</v>
      </c>
      <c r="E28" s="172" t="s">
        <v>346</v>
      </c>
      <c r="F28" s="173"/>
      <c r="G28" s="112"/>
      <c r="H28" s="23"/>
    </row>
    <row r="29" spans="1:8">
      <c r="A29" s="76">
        <v>21</v>
      </c>
      <c r="B29" s="177"/>
      <c r="C29" s="175"/>
      <c r="D29" s="13" t="s">
        <v>90</v>
      </c>
      <c r="E29" s="172" t="s">
        <v>347</v>
      </c>
      <c r="F29" s="173"/>
      <c r="G29" s="112"/>
      <c r="H29" s="23"/>
    </row>
    <row r="30" spans="1:8">
      <c r="A30" s="76">
        <v>22</v>
      </c>
      <c r="B30" s="177"/>
      <c r="C30" s="175"/>
      <c r="D30" s="13" t="s">
        <v>91</v>
      </c>
      <c r="E30" s="172" t="s">
        <v>348</v>
      </c>
      <c r="F30" s="173"/>
      <c r="G30" s="112"/>
      <c r="H30" s="23"/>
    </row>
    <row r="31" spans="1:8">
      <c r="A31" s="76">
        <v>23</v>
      </c>
      <c r="B31" s="177"/>
      <c r="C31" s="175"/>
      <c r="D31" s="13" t="s">
        <v>656</v>
      </c>
      <c r="E31" s="172" t="s">
        <v>349</v>
      </c>
      <c r="F31" s="173"/>
      <c r="G31" s="112"/>
      <c r="H31" s="23"/>
    </row>
    <row r="32" spans="1:8">
      <c r="A32" s="76">
        <v>24</v>
      </c>
      <c r="B32" s="177"/>
      <c r="C32" s="175" t="s">
        <v>86</v>
      </c>
      <c r="D32" s="13" t="s">
        <v>636</v>
      </c>
      <c r="E32" s="172" t="s">
        <v>729</v>
      </c>
      <c r="F32" s="173"/>
      <c r="G32" s="112"/>
      <c r="H32" s="23"/>
    </row>
    <row r="33" spans="1:8">
      <c r="A33" s="76">
        <v>25</v>
      </c>
      <c r="B33" s="177"/>
      <c r="C33" s="175"/>
      <c r="D33" s="13" t="s">
        <v>637</v>
      </c>
      <c r="E33" s="172" t="s">
        <v>647</v>
      </c>
      <c r="F33" s="173"/>
      <c r="G33" s="112"/>
      <c r="H33" s="97"/>
    </row>
    <row r="34" spans="1:8">
      <c r="A34" s="76">
        <v>26</v>
      </c>
      <c r="B34" s="177"/>
      <c r="C34" s="175"/>
      <c r="D34" s="13" t="s">
        <v>638</v>
      </c>
      <c r="E34" s="172" t="s">
        <v>646</v>
      </c>
      <c r="F34" s="173"/>
      <c r="G34" s="112"/>
      <c r="H34" s="97"/>
    </row>
    <row r="35" spans="1:8">
      <c r="A35" s="76">
        <v>27</v>
      </c>
      <c r="B35" s="177"/>
      <c r="C35" s="175"/>
      <c r="D35" s="14" t="s">
        <v>645</v>
      </c>
      <c r="E35" s="172" t="s">
        <v>648</v>
      </c>
      <c r="F35" s="173"/>
      <c r="G35" s="112"/>
      <c r="H35" s="97"/>
    </row>
    <row r="36" spans="1:8">
      <c r="A36" s="76">
        <v>28</v>
      </c>
      <c r="B36" s="177"/>
      <c r="C36" s="175"/>
      <c r="D36" s="13" t="s">
        <v>641</v>
      </c>
      <c r="E36" s="172" t="s">
        <v>649</v>
      </c>
      <c r="F36" s="173"/>
      <c r="G36" s="112"/>
      <c r="H36" s="23"/>
    </row>
    <row r="37" spans="1:8">
      <c r="A37" s="76">
        <v>29</v>
      </c>
      <c r="B37" s="177"/>
      <c r="C37" s="175"/>
      <c r="D37" s="13" t="s">
        <v>642</v>
      </c>
      <c r="E37" s="172" t="s">
        <v>650</v>
      </c>
      <c r="F37" s="173"/>
      <c r="G37" s="112"/>
      <c r="H37" s="23"/>
    </row>
    <row r="38" spans="1:8">
      <c r="A38" s="76">
        <v>30</v>
      </c>
      <c r="B38" s="177"/>
      <c r="C38" s="175"/>
      <c r="D38" s="13" t="s">
        <v>643</v>
      </c>
      <c r="E38" s="172" t="s">
        <v>651</v>
      </c>
      <c r="F38" s="173"/>
      <c r="G38" s="112"/>
      <c r="H38" s="75"/>
    </row>
    <row r="39" spans="1:8">
      <c r="A39" s="76">
        <v>31</v>
      </c>
      <c r="B39" s="177"/>
      <c r="C39" s="175"/>
      <c r="D39" s="13" t="s">
        <v>644</v>
      </c>
      <c r="E39" s="172" t="s">
        <v>350</v>
      </c>
      <c r="F39" s="174"/>
      <c r="G39" s="112"/>
      <c r="H39" s="75"/>
    </row>
    <row r="40" spans="1:8">
      <c r="A40" s="76">
        <v>32</v>
      </c>
      <c r="B40" s="177"/>
      <c r="C40" s="175"/>
      <c r="D40" s="8" t="s">
        <v>640</v>
      </c>
      <c r="E40" s="172" t="s">
        <v>651</v>
      </c>
      <c r="F40" s="173"/>
      <c r="G40" s="112"/>
      <c r="H40" s="75"/>
    </row>
    <row r="41" spans="1:8">
      <c r="A41" s="76">
        <v>33</v>
      </c>
      <c r="B41" s="177"/>
      <c r="C41" s="179" t="s">
        <v>36</v>
      </c>
      <c r="D41" s="8" t="s">
        <v>639</v>
      </c>
      <c r="E41" s="164" t="s">
        <v>340</v>
      </c>
      <c r="F41" s="165"/>
      <c r="G41" s="112"/>
      <c r="H41" s="75"/>
    </row>
    <row r="42" spans="1:8">
      <c r="A42" s="76">
        <v>34</v>
      </c>
      <c r="B42" s="177"/>
      <c r="C42" s="180"/>
      <c r="D42" s="13" t="s">
        <v>87</v>
      </c>
      <c r="E42" s="172" t="s">
        <v>351</v>
      </c>
      <c r="F42" s="173"/>
      <c r="G42" s="112"/>
      <c r="H42" s="75"/>
    </row>
    <row r="43" spans="1:8">
      <c r="A43" s="76">
        <v>35</v>
      </c>
      <c r="B43" s="178"/>
      <c r="C43" s="12" t="s">
        <v>134</v>
      </c>
      <c r="D43" s="14" t="s">
        <v>652</v>
      </c>
      <c r="E43" s="172" t="s">
        <v>653</v>
      </c>
      <c r="F43" s="173"/>
      <c r="G43" s="112"/>
      <c r="H43" s="75"/>
    </row>
    <row r="44" spans="1:8">
      <c r="A44" s="76">
        <v>36</v>
      </c>
      <c r="B44" s="176" t="s">
        <v>655</v>
      </c>
      <c r="C44" s="176" t="s">
        <v>658</v>
      </c>
      <c r="D44" s="14" t="s">
        <v>659</v>
      </c>
      <c r="E44" s="172" t="s">
        <v>660</v>
      </c>
      <c r="F44" s="173"/>
      <c r="G44" s="112"/>
      <c r="H44" s="75"/>
    </row>
    <row r="45" spans="1:8">
      <c r="A45" s="76">
        <v>37</v>
      </c>
      <c r="B45" s="177"/>
      <c r="C45" s="177"/>
      <c r="D45" s="14" t="s">
        <v>661</v>
      </c>
      <c r="E45" s="172" t="s">
        <v>662</v>
      </c>
      <c r="F45" s="173"/>
      <c r="G45" s="112"/>
      <c r="H45" s="75"/>
    </row>
    <row r="46" spans="1:8">
      <c r="A46" s="76">
        <v>38</v>
      </c>
      <c r="B46" s="177"/>
      <c r="C46" s="177"/>
      <c r="D46" s="14" t="s">
        <v>663</v>
      </c>
      <c r="E46" s="172" t="s">
        <v>664</v>
      </c>
      <c r="F46" s="173"/>
      <c r="G46" s="112"/>
      <c r="H46" s="75"/>
    </row>
    <row r="47" spans="1:8">
      <c r="A47" s="76">
        <v>39</v>
      </c>
      <c r="B47" s="177"/>
      <c r="C47" s="178"/>
      <c r="D47" s="14" t="s">
        <v>663</v>
      </c>
      <c r="E47" s="172" t="s">
        <v>665</v>
      </c>
      <c r="F47" s="173"/>
      <c r="G47" s="112"/>
      <c r="H47" s="75"/>
    </row>
    <row r="48" spans="1:8">
      <c r="A48" s="76">
        <v>40</v>
      </c>
      <c r="B48" s="177"/>
      <c r="C48" s="176" t="s">
        <v>666</v>
      </c>
      <c r="D48" s="14" t="s">
        <v>667</v>
      </c>
      <c r="E48" s="172" t="s">
        <v>668</v>
      </c>
      <c r="F48" s="173"/>
      <c r="G48" s="112"/>
      <c r="H48" s="75"/>
    </row>
    <row r="49" spans="1:8">
      <c r="A49" s="76">
        <v>41</v>
      </c>
      <c r="B49" s="177"/>
      <c r="C49" s="177"/>
      <c r="D49" s="14" t="s">
        <v>669</v>
      </c>
      <c r="E49" s="172" t="s">
        <v>670</v>
      </c>
      <c r="F49" s="173"/>
      <c r="G49" s="112"/>
      <c r="H49" s="75"/>
    </row>
    <row r="50" spans="1:8">
      <c r="A50" s="76">
        <v>42</v>
      </c>
      <c r="B50" s="177"/>
      <c r="C50" s="177"/>
      <c r="D50" s="14" t="s">
        <v>671</v>
      </c>
      <c r="E50" s="172" t="s">
        <v>349</v>
      </c>
      <c r="F50" s="173"/>
      <c r="G50" s="112"/>
      <c r="H50" s="75"/>
    </row>
    <row r="51" spans="1:8">
      <c r="A51" s="76">
        <v>43</v>
      </c>
      <c r="B51" s="177"/>
      <c r="C51" s="177"/>
      <c r="D51" s="14" t="s">
        <v>672</v>
      </c>
      <c r="E51" s="172" t="s">
        <v>345</v>
      </c>
      <c r="F51" s="173"/>
      <c r="G51" s="112"/>
      <c r="H51" s="75"/>
    </row>
    <row r="52" spans="1:8">
      <c r="A52" s="76">
        <v>44</v>
      </c>
      <c r="B52" s="177"/>
      <c r="C52" s="177"/>
      <c r="D52" s="14" t="s">
        <v>673</v>
      </c>
      <c r="E52" s="172" t="s">
        <v>674</v>
      </c>
      <c r="F52" s="173"/>
      <c r="G52" s="112"/>
      <c r="H52" s="75"/>
    </row>
    <row r="53" spans="1:8">
      <c r="A53" s="76">
        <v>45</v>
      </c>
      <c r="B53" s="177"/>
      <c r="C53" s="177"/>
      <c r="D53" s="14" t="s">
        <v>675</v>
      </c>
      <c r="E53" s="172" t="s">
        <v>676</v>
      </c>
      <c r="F53" s="173"/>
      <c r="G53" s="112"/>
      <c r="H53" s="75"/>
    </row>
    <row r="54" spans="1:8">
      <c r="A54" s="76">
        <v>46</v>
      </c>
      <c r="B54" s="177"/>
      <c r="C54" s="177"/>
      <c r="D54" s="14" t="s">
        <v>677</v>
      </c>
      <c r="E54" s="172" t="s">
        <v>678</v>
      </c>
      <c r="F54" s="173"/>
      <c r="G54" s="112"/>
      <c r="H54" s="75"/>
    </row>
    <row r="55" spans="1:8">
      <c r="A55" s="76">
        <v>47</v>
      </c>
      <c r="B55" s="177"/>
      <c r="C55" s="177"/>
      <c r="D55" s="14" t="s">
        <v>679</v>
      </c>
      <c r="E55" s="172" t="s">
        <v>680</v>
      </c>
      <c r="F55" s="173"/>
      <c r="G55" s="112"/>
      <c r="H55" s="75"/>
    </row>
    <row r="56" spans="1:8">
      <c r="A56" s="76">
        <v>48</v>
      </c>
      <c r="B56" s="177"/>
      <c r="C56" s="177"/>
      <c r="D56" s="14" t="s">
        <v>681</v>
      </c>
      <c r="E56" s="172" t="s">
        <v>682</v>
      </c>
      <c r="F56" s="173"/>
      <c r="G56" s="112"/>
      <c r="H56" s="75"/>
    </row>
    <row r="57" spans="1:8">
      <c r="A57" s="76">
        <v>49</v>
      </c>
      <c r="B57" s="177"/>
      <c r="C57" s="177"/>
      <c r="D57" s="14" t="s">
        <v>683</v>
      </c>
      <c r="E57" s="172" t="s">
        <v>684</v>
      </c>
      <c r="F57" s="173"/>
      <c r="G57" s="112"/>
      <c r="H57" s="75"/>
    </row>
    <row r="58" spans="1:8">
      <c r="A58" s="76">
        <v>50</v>
      </c>
      <c r="B58" s="177"/>
      <c r="C58" s="177"/>
      <c r="D58" s="14" t="s">
        <v>685</v>
      </c>
      <c r="E58" s="172" t="s">
        <v>686</v>
      </c>
      <c r="F58" s="173"/>
      <c r="G58" s="112"/>
      <c r="H58" s="75"/>
    </row>
    <row r="59" spans="1:8">
      <c r="A59" s="76">
        <v>51</v>
      </c>
      <c r="B59" s="177"/>
      <c r="C59" s="177"/>
      <c r="D59" s="14" t="s">
        <v>687</v>
      </c>
      <c r="E59" s="172" t="s">
        <v>688</v>
      </c>
      <c r="F59" s="173"/>
      <c r="G59" s="112"/>
      <c r="H59" s="75"/>
    </row>
    <row r="60" spans="1:8">
      <c r="A60" s="76">
        <v>52</v>
      </c>
      <c r="B60" s="178"/>
      <c r="C60" s="178"/>
      <c r="D60" s="14" t="s">
        <v>689</v>
      </c>
      <c r="E60" s="172" t="s">
        <v>690</v>
      </c>
      <c r="F60" s="173"/>
      <c r="G60" s="112"/>
      <c r="H60" s="75"/>
    </row>
  </sheetData>
  <mergeCells count="73">
    <mergeCell ref="E60:F60"/>
    <mergeCell ref="C44:C47"/>
    <mergeCell ref="E50:F50"/>
    <mergeCell ref="C48:C60"/>
    <mergeCell ref="B44:B60"/>
    <mergeCell ref="E44:F44"/>
    <mergeCell ref="E45:F45"/>
    <mergeCell ref="E46:F46"/>
    <mergeCell ref="E47:F47"/>
    <mergeCell ref="E48:F48"/>
    <mergeCell ref="E49:F49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A7:A8"/>
    <mergeCell ref="B7:B8"/>
    <mergeCell ref="C7:C8"/>
    <mergeCell ref="D7:D8"/>
    <mergeCell ref="C27:C31"/>
    <mergeCell ref="B9:B43"/>
    <mergeCell ref="C9:C14"/>
    <mergeCell ref="C15:C20"/>
    <mergeCell ref="C21:C24"/>
    <mergeCell ref="C25:C26"/>
    <mergeCell ref="C32:C40"/>
    <mergeCell ref="C41:C42"/>
    <mergeCell ref="F1:H1"/>
    <mergeCell ref="F4:H4"/>
    <mergeCell ref="F5:H5"/>
    <mergeCell ref="G7:G8"/>
    <mergeCell ref="H7:H8"/>
    <mergeCell ref="E7:F8"/>
    <mergeCell ref="E9:F9"/>
    <mergeCell ref="E11:F11"/>
    <mergeCell ref="E10:F10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3:F23"/>
    <mergeCell ref="E24:F24"/>
    <mergeCell ref="E22:F22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40:F40"/>
    <mergeCell ref="E42:F42"/>
    <mergeCell ref="E43:F43"/>
    <mergeCell ref="E35:F35"/>
    <mergeCell ref="E36:F36"/>
    <mergeCell ref="E37:F37"/>
    <mergeCell ref="E38:F38"/>
    <mergeCell ref="E39:F39"/>
    <mergeCell ref="E41:F41"/>
  </mergeCells>
  <phoneticPr fontId="2" type="noConversion"/>
  <conditionalFormatting sqref="G9:G60">
    <cfRule type="cellIs" dxfId="29" priority="1" operator="equal">
      <formula>$H$2</formula>
    </cfRule>
    <cfRule type="cellIs" dxfId="28" priority="2" operator="equal">
      <formula>$G$2</formula>
    </cfRule>
    <cfRule type="cellIs" dxfId="27" priority="3" operator="equal">
      <formula>$F$2</formula>
    </cfRule>
  </conditionalFormatting>
  <dataValidations count="1">
    <dataValidation type="list" allowBlank="1" showInputMessage="1" showErrorMessage="1" sqref="G9:G60" xr:uid="{A414BE0D-E516-43AB-A152-50E366B0D978}">
      <formula1>$F$2:$H$2</formula1>
    </dataValidation>
  </dataValidations>
  <pageMargins left="0.7" right="0.7" top="0.75" bottom="0.75" header="0.3" footer="0.3"/>
  <pageSetup paperSize="9" scale="4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7"/>
  <sheetViews>
    <sheetView zoomScaleNormal="100" workbookViewId="0">
      <selection activeCell="D34" sqref="D34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71"/>
      <c r="G1" s="171"/>
      <c r="H1" s="171"/>
    </row>
    <row r="2" spans="1:8">
      <c r="A2" s="6"/>
      <c r="B2" s="34" t="s">
        <v>31</v>
      </c>
      <c r="C2" s="49" t="s">
        <v>707</v>
      </c>
      <c r="F2" s="29" t="s">
        <v>32</v>
      </c>
      <c r="G2" s="30" t="s">
        <v>33</v>
      </c>
      <c r="H2" s="31" t="s">
        <v>34</v>
      </c>
    </row>
    <row r="3" spans="1:8">
      <c r="A3" s="6"/>
      <c r="B3" s="32" t="s">
        <v>116</v>
      </c>
      <c r="C3" s="33" t="str">
        <f>(표지!C6)</f>
        <v>1.4.13.43</v>
      </c>
      <c r="F3" s="32" t="str">
        <f>IF(G2&lt;&gt;"", TEXT(COUNTIF(G9:G9943, "*" &amp; F2 &amp; "*") / COUNTA(A9:A943), "0.0%"), "")</f>
        <v>0.0%</v>
      </c>
      <c r="G3" s="26" t="str">
        <f>IF(G2&lt;&gt;"", TEXT(COUNTIF(G9:G9944, "*" &amp; G2 &amp; "*") / COUNTA(A9:A9944), "0.0%"), "")</f>
        <v>0.0%</v>
      </c>
      <c r="H3" s="33" t="str">
        <f>IF(H2&lt;&gt;"", TEXT(COUNTIF(G9:G9944, "*" &amp; H2 &amp; "*") / COUNTA(A9:A9944), "0.0%"), "")</f>
        <v>0.0%</v>
      </c>
    </row>
    <row r="4" spans="1:8">
      <c r="A4" s="6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(표지!D17)</f>
        <v>김현상</v>
      </c>
      <c r="F5" s="150" t="str">
        <f>TEXT(COUNTA(G9:G9943) / COUNTA(A9:A9944),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>
      <c r="A9" s="10">
        <v>1</v>
      </c>
      <c r="B9" s="170" t="s">
        <v>163</v>
      </c>
      <c r="C9" s="145" t="s">
        <v>108</v>
      </c>
      <c r="D9" s="8" t="s">
        <v>109</v>
      </c>
      <c r="E9" s="164" t="s">
        <v>166</v>
      </c>
      <c r="F9" s="165"/>
      <c r="G9" s="112"/>
      <c r="H9" s="23"/>
    </row>
    <row r="10" spans="1:8">
      <c r="A10" s="10">
        <v>2</v>
      </c>
      <c r="B10" s="140"/>
      <c r="C10" s="145"/>
      <c r="D10" s="8" t="s">
        <v>110</v>
      </c>
      <c r="E10" s="164" t="s">
        <v>167</v>
      </c>
      <c r="F10" s="165"/>
      <c r="G10" s="112"/>
      <c r="H10" s="23"/>
    </row>
    <row r="11" spans="1:8">
      <c r="A11" s="27">
        <v>3</v>
      </c>
      <c r="B11" s="140"/>
      <c r="C11" s="145"/>
      <c r="D11" s="8" t="s">
        <v>111</v>
      </c>
      <c r="E11" s="164" t="s">
        <v>158</v>
      </c>
      <c r="F11" s="165"/>
      <c r="G11" s="113"/>
      <c r="H11" s="23"/>
    </row>
    <row r="12" spans="1:8">
      <c r="A12" s="27">
        <v>4</v>
      </c>
      <c r="B12" s="140"/>
      <c r="C12" s="145"/>
      <c r="D12" s="8" t="s">
        <v>112</v>
      </c>
      <c r="E12" s="164" t="s">
        <v>352</v>
      </c>
      <c r="F12" s="165"/>
      <c r="G12" s="113"/>
      <c r="H12" s="23"/>
    </row>
    <row r="13" spans="1:8">
      <c r="A13" s="27">
        <v>5</v>
      </c>
      <c r="B13" s="140"/>
      <c r="C13" s="145" t="s">
        <v>135</v>
      </c>
      <c r="D13" s="16" t="s">
        <v>118</v>
      </c>
      <c r="E13" s="164" t="s">
        <v>154</v>
      </c>
      <c r="F13" s="165"/>
      <c r="G13" s="112"/>
      <c r="H13" s="23"/>
    </row>
    <row r="14" spans="1:8">
      <c r="A14" s="27">
        <v>6</v>
      </c>
      <c r="B14" s="140"/>
      <c r="C14" s="145"/>
      <c r="D14" s="16" t="s">
        <v>119</v>
      </c>
      <c r="E14" s="164" t="s">
        <v>155</v>
      </c>
      <c r="F14" s="165"/>
      <c r="G14" s="112"/>
      <c r="H14" s="23"/>
    </row>
    <row r="15" spans="1:8">
      <c r="A15" s="27">
        <v>7</v>
      </c>
      <c r="B15" s="140"/>
      <c r="C15" s="145"/>
      <c r="D15" s="16" t="s">
        <v>120</v>
      </c>
      <c r="E15" s="164" t="s">
        <v>153</v>
      </c>
      <c r="F15" s="165"/>
      <c r="G15" s="112"/>
      <c r="H15" s="23"/>
    </row>
    <row r="16" spans="1:8">
      <c r="A16" s="27">
        <v>8</v>
      </c>
      <c r="B16" s="140"/>
      <c r="C16" s="145"/>
      <c r="D16" s="16" t="s">
        <v>121</v>
      </c>
      <c r="E16" s="164" t="s">
        <v>156</v>
      </c>
      <c r="F16" s="165"/>
      <c r="G16" s="112"/>
      <c r="H16" s="23"/>
    </row>
    <row r="17" spans="1:8">
      <c r="A17" s="27">
        <v>9</v>
      </c>
      <c r="B17" s="140"/>
      <c r="C17" s="145"/>
      <c r="D17" s="16" t="s">
        <v>114</v>
      </c>
      <c r="E17" s="164" t="s">
        <v>142</v>
      </c>
      <c r="F17" s="165"/>
      <c r="G17" s="112"/>
      <c r="H17" s="23"/>
    </row>
    <row r="18" spans="1:8">
      <c r="A18" s="27">
        <v>10</v>
      </c>
      <c r="B18" s="140"/>
      <c r="C18" s="145"/>
      <c r="D18" s="16" t="s">
        <v>115</v>
      </c>
      <c r="E18" s="164" t="s">
        <v>157</v>
      </c>
      <c r="F18" s="165"/>
      <c r="G18" s="112"/>
      <c r="H18" s="23"/>
    </row>
    <row r="19" spans="1:8">
      <c r="A19" s="27">
        <v>11</v>
      </c>
      <c r="B19" s="140"/>
      <c r="C19" s="10" t="s">
        <v>152</v>
      </c>
      <c r="D19" s="16" t="s">
        <v>113</v>
      </c>
      <c r="E19" s="164" t="s">
        <v>151</v>
      </c>
      <c r="F19" s="165"/>
      <c r="G19" s="112"/>
      <c r="H19" s="23"/>
    </row>
    <row r="20" spans="1:8">
      <c r="A20" s="27">
        <v>12</v>
      </c>
      <c r="B20" s="140"/>
      <c r="C20" s="145" t="s">
        <v>128</v>
      </c>
      <c r="D20" s="8" t="s">
        <v>122</v>
      </c>
      <c r="E20" s="164" t="s">
        <v>158</v>
      </c>
      <c r="F20" s="165"/>
      <c r="G20" s="112"/>
      <c r="H20" s="23"/>
    </row>
    <row r="21" spans="1:8">
      <c r="A21" s="27">
        <v>13</v>
      </c>
      <c r="B21" s="140"/>
      <c r="C21" s="145"/>
      <c r="D21" s="8" t="s">
        <v>127</v>
      </c>
      <c r="E21" s="164" t="s">
        <v>353</v>
      </c>
      <c r="F21" s="165"/>
      <c r="G21" s="112"/>
      <c r="H21" s="23"/>
    </row>
    <row r="22" spans="1:8">
      <c r="A22" s="27">
        <v>14</v>
      </c>
      <c r="B22" s="140"/>
      <c r="C22" s="145"/>
      <c r="D22" s="16" t="s">
        <v>123</v>
      </c>
      <c r="E22" s="164" t="s">
        <v>354</v>
      </c>
      <c r="F22" s="165"/>
      <c r="G22" s="112"/>
      <c r="H22" s="23"/>
    </row>
    <row r="23" spans="1:8">
      <c r="A23" s="27">
        <v>15</v>
      </c>
      <c r="B23" s="140"/>
      <c r="C23" s="145"/>
      <c r="D23" s="16" t="s">
        <v>129</v>
      </c>
      <c r="E23" s="164" t="s">
        <v>159</v>
      </c>
      <c r="F23" s="165"/>
      <c r="G23" s="112"/>
      <c r="H23" s="23"/>
    </row>
    <row r="24" spans="1:8">
      <c r="A24" s="27">
        <v>16</v>
      </c>
      <c r="B24" s="140"/>
      <c r="C24" s="145"/>
      <c r="D24" s="16" t="s">
        <v>130</v>
      </c>
      <c r="E24" s="164" t="s">
        <v>160</v>
      </c>
      <c r="F24" s="165"/>
      <c r="G24" s="112"/>
      <c r="H24" s="23"/>
    </row>
    <row r="25" spans="1:8">
      <c r="A25" s="27">
        <v>17</v>
      </c>
      <c r="B25" s="140"/>
      <c r="C25" s="145" t="s">
        <v>131</v>
      </c>
      <c r="D25" s="8" t="s">
        <v>124</v>
      </c>
      <c r="E25" s="164" t="s">
        <v>355</v>
      </c>
      <c r="F25" s="165"/>
      <c r="G25" s="112"/>
      <c r="H25" s="23"/>
    </row>
    <row r="26" spans="1:8">
      <c r="A26" s="27">
        <v>18</v>
      </c>
      <c r="B26" s="140"/>
      <c r="C26" s="145"/>
      <c r="D26" s="8" t="s">
        <v>125</v>
      </c>
      <c r="E26" s="164" t="s">
        <v>356</v>
      </c>
      <c r="F26" s="165"/>
      <c r="G26" s="112"/>
      <c r="H26" s="23"/>
    </row>
    <row r="27" spans="1:8">
      <c r="A27" s="27">
        <v>19</v>
      </c>
      <c r="B27" s="140"/>
      <c r="C27" s="145"/>
      <c r="D27" s="16" t="s">
        <v>126</v>
      </c>
      <c r="E27" s="164" t="s">
        <v>357</v>
      </c>
      <c r="F27" s="165"/>
      <c r="G27" s="112"/>
      <c r="H27" s="23"/>
    </row>
    <row r="28" spans="1:8">
      <c r="A28" s="27">
        <v>20</v>
      </c>
      <c r="B28" s="140"/>
      <c r="C28" s="145"/>
      <c r="D28" s="16" t="s">
        <v>132</v>
      </c>
      <c r="E28" s="164" t="s">
        <v>358</v>
      </c>
      <c r="F28" s="165"/>
      <c r="G28" s="112"/>
      <c r="H28" s="23"/>
    </row>
    <row r="29" spans="1:8">
      <c r="A29" s="27">
        <v>21</v>
      </c>
      <c r="B29" s="140"/>
      <c r="C29" s="145"/>
      <c r="D29" s="16" t="s">
        <v>133</v>
      </c>
      <c r="E29" s="164" t="s">
        <v>161</v>
      </c>
      <c r="F29" s="165"/>
      <c r="G29" s="112"/>
      <c r="H29" s="23"/>
    </row>
    <row r="30" spans="1:8">
      <c r="A30" s="27">
        <v>22</v>
      </c>
      <c r="B30" s="140"/>
      <c r="C30" s="145" t="s">
        <v>136</v>
      </c>
      <c r="D30" s="8" t="s">
        <v>654</v>
      </c>
      <c r="E30" s="164" t="s">
        <v>359</v>
      </c>
      <c r="F30" s="165"/>
      <c r="G30" s="112"/>
      <c r="H30" s="23"/>
    </row>
    <row r="31" spans="1:8">
      <c r="A31" s="27">
        <v>23</v>
      </c>
      <c r="B31" s="140"/>
      <c r="C31" s="145"/>
      <c r="D31" s="8" t="s">
        <v>137</v>
      </c>
      <c r="E31" s="164" t="s">
        <v>360</v>
      </c>
      <c r="F31" s="165"/>
      <c r="G31" s="112"/>
      <c r="H31" s="23"/>
    </row>
    <row r="32" spans="1:8">
      <c r="A32" s="27">
        <v>24</v>
      </c>
      <c r="B32" s="140"/>
      <c r="C32" s="145"/>
      <c r="D32" s="8" t="s">
        <v>138</v>
      </c>
      <c r="E32" s="164" t="s">
        <v>148</v>
      </c>
      <c r="F32" s="165"/>
      <c r="G32" s="112"/>
      <c r="H32" s="23"/>
    </row>
    <row r="33" spans="1:8">
      <c r="A33" s="27">
        <v>25</v>
      </c>
      <c r="B33" s="140"/>
      <c r="C33" s="145"/>
      <c r="D33" s="8" t="s">
        <v>139</v>
      </c>
      <c r="E33" s="164" t="s">
        <v>149</v>
      </c>
      <c r="F33" s="165"/>
      <c r="G33" s="112"/>
      <c r="H33" s="84"/>
    </row>
    <row r="34" spans="1:8">
      <c r="A34" s="27">
        <v>26</v>
      </c>
      <c r="B34" s="140"/>
      <c r="C34" s="145"/>
      <c r="D34" s="8" t="s">
        <v>140</v>
      </c>
      <c r="E34" s="164" t="s">
        <v>361</v>
      </c>
      <c r="F34" s="165"/>
      <c r="G34" s="112"/>
      <c r="H34" s="23"/>
    </row>
    <row r="35" spans="1:8">
      <c r="A35" s="27">
        <v>27</v>
      </c>
      <c r="B35" s="140"/>
      <c r="C35" s="145"/>
      <c r="D35" s="8" t="s">
        <v>143</v>
      </c>
      <c r="E35" s="164" t="s">
        <v>759</v>
      </c>
      <c r="F35" s="165"/>
      <c r="G35" s="112"/>
      <c r="H35" s="23"/>
    </row>
    <row r="36" spans="1:8">
      <c r="A36" s="27">
        <v>28</v>
      </c>
      <c r="B36" s="140"/>
      <c r="C36" s="145"/>
      <c r="D36" s="8" t="s">
        <v>144</v>
      </c>
      <c r="E36" s="164" t="s">
        <v>141</v>
      </c>
      <c r="F36" s="165"/>
      <c r="G36" s="112"/>
      <c r="H36" s="23"/>
    </row>
    <row r="37" spans="1:8">
      <c r="A37" s="27">
        <v>29</v>
      </c>
      <c r="B37" s="140"/>
      <c r="C37" s="145"/>
      <c r="D37" s="16" t="s">
        <v>145</v>
      </c>
      <c r="E37" s="164" t="s">
        <v>362</v>
      </c>
      <c r="F37" s="165"/>
      <c r="G37" s="112"/>
      <c r="H37" s="23"/>
    </row>
    <row r="38" spans="1:8">
      <c r="A38" s="27">
        <v>30</v>
      </c>
      <c r="B38" s="140"/>
      <c r="C38" s="145"/>
      <c r="D38" s="16" t="s">
        <v>146</v>
      </c>
      <c r="E38" s="164" t="s">
        <v>760</v>
      </c>
      <c r="F38" s="165"/>
      <c r="G38" s="112"/>
      <c r="H38" s="23"/>
    </row>
    <row r="39" spans="1:8">
      <c r="A39" s="27">
        <v>31</v>
      </c>
      <c r="B39" s="140"/>
      <c r="C39" s="145"/>
      <c r="D39" s="16" t="s">
        <v>147</v>
      </c>
      <c r="E39" s="164" t="s">
        <v>364</v>
      </c>
      <c r="F39" s="165"/>
      <c r="G39" s="112"/>
      <c r="H39" s="23"/>
    </row>
    <row r="40" spans="1:8">
      <c r="A40" s="27">
        <v>32</v>
      </c>
      <c r="B40" s="141"/>
      <c r="C40" s="10" t="s">
        <v>36</v>
      </c>
      <c r="D40" s="8" t="s">
        <v>150</v>
      </c>
      <c r="E40" s="164" t="s">
        <v>363</v>
      </c>
      <c r="F40" s="165"/>
      <c r="G40" s="112"/>
      <c r="H40" s="23"/>
    </row>
    <row r="47" spans="1:8">
      <c r="D47" s="15"/>
    </row>
  </sheetData>
  <mergeCells count="48">
    <mergeCell ref="F1:H1"/>
    <mergeCell ref="F4:H4"/>
    <mergeCell ref="F5:H5"/>
    <mergeCell ref="A7:A8"/>
    <mergeCell ref="B7:B8"/>
    <mergeCell ref="C7:C8"/>
    <mergeCell ref="D7:D8"/>
    <mergeCell ref="G7:G8"/>
    <mergeCell ref="H7:H8"/>
    <mergeCell ref="E7:F8"/>
    <mergeCell ref="E9:F9"/>
    <mergeCell ref="E10:F10"/>
    <mergeCell ref="E11:F11"/>
    <mergeCell ref="B9:B40"/>
    <mergeCell ref="C20:C24"/>
    <mergeCell ref="C25:C29"/>
    <mergeCell ref="C13:C18"/>
    <mergeCell ref="C30:C39"/>
    <mergeCell ref="C9:C12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7:F37"/>
    <mergeCell ref="E38:F38"/>
    <mergeCell ref="E39:F39"/>
    <mergeCell ref="E40:F40"/>
    <mergeCell ref="E32:F32"/>
    <mergeCell ref="E33:F33"/>
    <mergeCell ref="E34:F34"/>
    <mergeCell ref="E35:F35"/>
    <mergeCell ref="E36:F36"/>
  </mergeCells>
  <phoneticPr fontId="2" type="noConversion"/>
  <conditionalFormatting sqref="G9:G40">
    <cfRule type="cellIs" dxfId="26" priority="1" operator="equal">
      <formula>$H$2</formula>
    </cfRule>
    <cfRule type="cellIs" dxfId="25" priority="2" operator="equal">
      <formula>$G$2</formula>
    </cfRule>
    <cfRule type="cellIs" dxfId="24" priority="3" operator="equal">
      <formula>$F$2</formula>
    </cfRule>
  </conditionalFormatting>
  <dataValidations count="1">
    <dataValidation type="list" allowBlank="1" showInputMessage="1" showErrorMessage="1" sqref="G9:G40" xr:uid="{E6565649-F880-45DC-847B-C92CBF8064B7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0"/>
  <sheetViews>
    <sheetView zoomScaleNormal="100" workbookViewId="0">
      <selection activeCell="G9" sqref="G9:G30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46"/>
      <c r="G1" s="146"/>
      <c r="H1" s="146"/>
    </row>
    <row r="2" spans="1:8">
      <c r="A2" s="25"/>
      <c r="B2" s="34" t="s">
        <v>31</v>
      </c>
      <c r="C2" s="49" t="s">
        <v>707</v>
      </c>
      <c r="F2" s="29" t="s">
        <v>32</v>
      </c>
      <c r="G2" s="30" t="s">
        <v>33</v>
      </c>
      <c r="H2" s="31" t="s">
        <v>34</v>
      </c>
    </row>
    <row r="3" spans="1:8">
      <c r="A3" s="25"/>
      <c r="B3" s="32" t="s">
        <v>116</v>
      </c>
      <c r="C3" s="33" t="str">
        <f>(표지!C6)</f>
        <v>1.4.13.43</v>
      </c>
      <c r="F3" s="32" t="str">
        <f>IF(G2&lt;&gt;"", TEXT(COUNTIF(G9:G9932, "*" &amp; F2 &amp; "*") / COUNTA(A9:A932), "0.0%"), "")</f>
        <v>0.0%</v>
      </c>
      <c r="G3" s="26" t="str">
        <f>IF(G2&lt;&gt;"", TEXT(COUNTIF(G9:G9933, "*" &amp; G2 &amp; "*") / COUNTA(A9:A9933), "0.0%"), "")</f>
        <v>0.0%</v>
      </c>
      <c r="H3" s="33" t="str">
        <f>IF(H2&lt;&gt;"", TEXT(COUNTIF(G9:G9933, "*" &amp; H2 &amp; "*") / COUNTA(A9:A9933), "0.0%"), "")</f>
        <v>0.0%</v>
      </c>
    </row>
    <row r="4" spans="1:8">
      <c r="A4" s="25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(표지!I13)</f>
        <v>김현상</v>
      </c>
      <c r="F5" s="150" t="str">
        <f>TEXT(COUNTA(G9:G9932) / COUNTA(A9:A9933),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 s="9" customFormat="1">
      <c r="A9" s="10">
        <v>1</v>
      </c>
      <c r="B9" s="181" t="s">
        <v>193</v>
      </c>
      <c r="C9" s="145" t="s">
        <v>168</v>
      </c>
      <c r="D9" s="8" t="s">
        <v>169</v>
      </c>
      <c r="E9" s="164" t="s">
        <v>173</v>
      </c>
      <c r="F9" s="165"/>
      <c r="G9" s="23"/>
      <c r="H9" s="23"/>
    </row>
    <row r="10" spans="1:8" s="9" customFormat="1">
      <c r="A10" s="10">
        <v>2</v>
      </c>
      <c r="B10" s="182"/>
      <c r="C10" s="145"/>
      <c r="D10" s="8" t="s">
        <v>170</v>
      </c>
      <c r="E10" s="164" t="s">
        <v>174</v>
      </c>
      <c r="F10" s="165"/>
      <c r="G10" s="112"/>
      <c r="H10" s="23"/>
    </row>
    <row r="11" spans="1:8" s="9" customFormat="1">
      <c r="A11" s="84">
        <v>3</v>
      </c>
      <c r="B11" s="182"/>
      <c r="C11" s="145"/>
      <c r="D11" s="8" t="s">
        <v>171</v>
      </c>
      <c r="E11" s="164" t="s">
        <v>158</v>
      </c>
      <c r="F11" s="165"/>
      <c r="G11" s="112"/>
      <c r="H11" s="23"/>
    </row>
    <row r="12" spans="1:8" s="9" customFormat="1">
      <c r="A12" s="84">
        <v>4</v>
      </c>
      <c r="B12" s="182"/>
      <c r="C12" s="145"/>
      <c r="D12" s="8" t="s">
        <v>172</v>
      </c>
      <c r="E12" s="164" t="s">
        <v>352</v>
      </c>
      <c r="F12" s="165"/>
      <c r="G12" s="112"/>
      <c r="H12" s="23"/>
    </row>
    <row r="13" spans="1:8" s="9" customFormat="1">
      <c r="A13" s="84">
        <v>5</v>
      </c>
      <c r="B13" s="182"/>
      <c r="C13" s="145" t="s">
        <v>187</v>
      </c>
      <c r="D13" s="16" t="s">
        <v>177</v>
      </c>
      <c r="E13" s="164" t="s">
        <v>365</v>
      </c>
      <c r="F13" s="165"/>
      <c r="G13" s="112"/>
      <c r="H13" s="23"/>
    </row>
    <row r="14" spans="1:8" s="9" customFormat="1">
      <c r="A14" s="84">
        <v>6</v>
      </c>
      <c r="B14" s="182"/>
      <c r="C14" s="145"/>
      <c r="D14" s="16" t="s">
        <v>181</v>
      </c>
      <c r="E14" s="164" t="s">
        <v>182</v>
      </c>
      <c r="F14" s="165"/>
      <c r="G14" s="112"/>
      <c r="H14" s="23"/>
    </row>
    <row r="15" spans="1:8" s="9" customFormat="1">
      <c r="A15" s="84">
        <v>7</v>
      </c>
      <c r="B15" s="182"/>
      <c r="C15" s="145"/>
      <c r="D15" s="8" t="s">
        <v>190</v>
      </c>
      <c r="E15" s="164" t="s">
        <v>366</v>
      </c>
      <c r="F15" s="165"/>
      <c r="G15" s="112"/>
      <c r="H15" s="23"/>
    </row>
    <row r="16" spans="1:8" s="9" customFormat="1">
      <c r="A16" s="84">
        <v>8</v>
      </c>
      <c r="B16" s="182"/>
      <c r="C16" s="145"/>
      <c r="D16" s="8" t="s">
        <v>191</v>
      </c>
      <c r="E16" s="164" t="s">
        <v>367</v>
      </c>
      <c r="F16" s="165"/>
      <c r="G16" s="112"/>
      <c r="H16" s="23"/>
    </row>
    <row r="17" spans="1:8" s="9" customFormat="1">
      <c r="A17" s="84">
        <v>9</v>
      </c>
      <c r="B17" s="182"/>
      <c r="C17" s="145" t="s">
        <v>186</v>
      </c>
      <c r="D17" s="16" t="s">
        <v>175</v>
      </c>
      <c r="E17" s="164" t="s">
        <v>176</v>
      </c>
      <c r="F17" s="165"/>
      <c r="G17" s="112"/>
      <c r="H17" s="23"/>
    </row>
    <row r="18" spans="1:8" s="9" customFormat="1">
      <c r="A18" s="84">
        <v>10</v>
      </c>
      <c r="B18" s="182"/>
      <c r="C18" s="145"/>
      <c r="D18" s="16" t="s">
        <v>178</v>
      </c>
      <c r="E18" s="164" t="s">
        <v>368</v>
      </c>
      <c r="F18" s="165"/>
      <c r="G18" s="112"/>
      <c r="H18" s="23"/>
    </row>
    <row r="19" spans="1:8" s="9" customFormat="1">
      <c r="A19" s="84">
        <v>11</v>
      </c>
      <c r="B19" s="182"/>
      <c r="C19" s="145" t="s">
        <v>188</v>
      </c>
      <c r="D19" s="8" t="s">
        <v>179</v>
      </c>
      <c r="E19" s="164" t="s">
        <v>369</v>
      </c>
      <c r="F19" s="165"/>
      <c r="G19" s="112"/>
      <c r="H19" s="23"/>
    </row>
    <row r="20" spans="1:8" s="9" customFormat="1">
      <c r="A20" s="84">
        <v>12</v>
      </c>
      <c r="B20" s="182"/>
      <c r="C20" s="145"/>
      <c r="D20" s="8" t="s">
        <v>180</v>
      </c>
      <c r="E20" s="164" t="s">
        <v>370</v>
      </c>
      <c r="F20" s="165"/>
      <c r="G20" s="112"/>
      <c r="H20" s="23"/>
    </row>
    <row r="21" spans="1:8" s="9" customFormat="1">
      <c r="A21" s="84">
        <v>13</v>
      </c>
      <c r="B21" s="182"/>
      <c r="C21" s="170" t="s">
        <v>189</v>
      </c>
      <c r="D21" s="16" t="s">
        <v>691</v>
      </c>
      <c r="E21" s="164" t="s">
        <v>192</v>
      </c>
      <c r="F21" s="165"/>
      <c r="G21" s="112"/>
      <c r="H21" s="23"/>
    </row>
    <row r="22" spans="1:8" s="9" customFormat="1">
      <c r="A22" s="84">
        <v>14</v>
      </c>
      <c r="B22" s="182"/>
      <c r="C22" s="140"/>
      <c r="D22" s="16" t="s">
        <v>183</v>
      </c>
      <c r="E22" s="164" t="s">
        <v>192</v>
      </c>
      <c r="F22" s="165"/>
      <c r="G22" s="112"/>
      <c r="H22" s="23"/>
    </row>
    <row r="23" spans="1:8" s="9" customFormat="1">
      <c r="A23" s="84">
        <v>15</v>
      </c>
      <c r="B23" s="182"/>
      <c r="C23" s="140"/>
      <c r="D23" s="16" t="s">
        <v>695</v>
      </c>
      <c r="E23" s="164" t="s">
        <v>192</v>
      </c>
      <c r="F23" s="165"/>
      <c r="G23" s="112"/>
      <c r="H23" s="77"/>
    </row>
    <row r="24" spans="1:8" s="9" customFormat="1">
      <c r="A24" s="84">
        <v>16</v>
      </c>
      <c r="B24" s="182"/>
      <c r="C24" s="140"/>
      <c r="D24" s="16" t="s">
        <v>696</v>
      </c>
      <c r="E24" s="164" t="s">
        <v>192</v>
      </c>
      <c r="F24" s="165"/>
      <c r="G24" s="112"/>
      <c r="H24" s="77"/>
    </row>
    <row r="25" spans="1:8" s="9" customFormat="1">
      <c r="A25" s="84">
        <v>17</v>
      </c>
      <c r="B25" s="182"/>
      <c r="C25" s="140"/>
      <c r="D25" s="16" t="s">
        <v>692</v>
      </c>
      <c r="E25" s="164" t="s">
        <v>192</v>
      </c>
      <c r="F25" s="165"/>
      <c r="G25" s="112"/>
      <c r="H25" s="77"/>
    </row>
    <row r="26" spans="1:8" s="9" customFormat="1">
      <c r="A26" s="84">
        <v>18</v>
      </c>
      <c r="B26" s="182"/>
      <c r="C26" s="140"/>
      <c r="D26" s="16" t="s">
        <v>693</v>
      </c>
      <c r="E26" s="164" t="s">
        <v>192</v>
      </c>
      <c r="F26" s="165"/>
      <c r="G26" s="112"/>
      <c r="H26" s="77"/>
    </row>
    <row r="27" spans="1:8" s="9" customFormat="1">
      <c r="A27" s="84">
        <v>19</v>
      </c>
      <c r="B27" s="182"/>
      <c r="C27" s="140"/>
      <c r="D27" s="16" t="s">
        <v>697</v>
      </c>
      <c r="E27" s="164" t="s">
        <v>192</v>
      </c>
      <c r="F27" s="165"/>
      <c r="G27" s="112"/>
      <c r="H27" s="77"/>
    </row>
    <row r="28" spans="1:8" s="9" customFormat="1">
      <c r="A28" s="84">
        <v>20</v>
      </c>
      <c r="B28" s="182"/>
      <c r="C28" s="140"/>
      <c r="D28" s="16" t="s">
        <v>698</v>
      </c>
      <c r="E28" s="164" t="s">
        <v>192</v>
      </c>
      <c r="F28" s="165"/>
      <c r="G28" s="112"/>
      <c r="H28" s="77"/>
    </row>
    <row r="29" spans="1:8">
      <c r="A29" s="84">
        <v>21</v>
      </c>
      <c r="B29" s="182"/>
      <c r="C29" s="140"/>
      <c r="D29" s="16" t="s">
        <v>184</v>
      </c>
      <c r="E29" s="164" t="s">
        <v>192</v>
      </c>
      <c r="F29" s="165"/>
      <c r="G29" s="112"/>
      <c r="H29" s="77"/>
    </row>
    <row r="30" spans="1:8">
      <c r="A30" s="84">
        <v>22</v>
      </c>
      <c r="B30" s="183"/>
      <c r="C30" s="141"/>
      <c r="D30" s="16" t="s">
        <v>185</v>
      </c>
      <c r="E30" s="164" t="s">
        <v>192</v>
      </c>
      <c r="F30" s="165"/>
      <c r="G30" s="112"/>
      <c r="H30" s="77"/>
    </row>
  </sheetData>
  <mergeCells count="38">
    <mergeCell ref="E30:F30"/>
    <mergeCell ref="E26:F26"/>
    <mergeCell ref="E24:F24"/>
    <mergeCell ref="E27:F27"/>
    <mergeCell ref="F1:H1"/>
    <mergeCell ref="F4:H4"/>
    <mergeCell ref="F5:H5"/>
    <mergeCell ref="H7:H8"/>
    <mergeCell ref="E9:F9"/>
    <mergeCell ref="G7:G8"/>
    <mergeCell ref="E7:F8"/>
    <mergeCell ref="E20:F20"/>
    <mergeCell ref="E14:F14"/>
    <mergeCell ref="E29:F29"/>
    <mergeCell ref="E21:F21"/>
    <mergeCell ref="E22:F22"/>
    <mergeCell ref="E25:F25"/>
    <mergeCell ref="E10:F10"/>
    <mergeCell ref="E11:F11"/>
    <mergeCell ref="E12:F12"/>
    <mergeCell ref="E13:F13"/>
    <mergeCell ref="E19:F19"/>
    <mergeCell ref="E28:F28"/>
    <mergeCell ref="A7:A8"/>
    <mergeCell ref="B7:B8"/>
    <mergeCell ref="C7:C8"/>
    <mergeCell ref="D7:D8"/>
    <mergeCell ref="C13:C16"/>
    <mergeCell ref="C17:C18"/>
    <mergeCell ref="C19:C20"/>
    <mergeCell ref="E15:F15"/>
    <mergeCell ref="E16:F16"/>
    <mergeCell ref="E17:F17"/>
    <mergeCell ref="E18:F18"/>
    <mergeCell ref="E23:F23"/>
    <mergeCell ref="C9:C12"/>
    <mergeCell ref="B9:B30"/>
    <mergeCell ref="C21:C30"/>
  </mergeCells>
  <phoneticPr fontId="2" type="noConversion"/>
  <conditionalFormatting sqref="G9:G30">
    <cfRule type="cellIs" dxfId="23" priority="181" operator="equal">
      <formula>$H$2</formula>
    </cfRule>
    <cfRule type="cellIs" dxfId="22" priority="182" operator="equal">
      <formula>$G$2</formula>
    </cfRule>
    <cfRule type="cellIs" dxfId="21" priority="183" operator="equal">
      <formula>$F$2</formula>
    </cfRule>
    <cfRule type="cellIs" dxfId="20" priority="184" operator="equal">
      <formula>$H$2</formula>
    </cfRule>
    <cfRule type="cellIs" dxfId="19" priority="185" operator="equal">
      <formula>$G$2</formula>
    </cfRule>
    <cfRule type="cellIs" dxfId="18" priority="186" operator="equal">
      <formula>$F$2</formula>
    </cfRule>
  </conditionalFormatting>
  <conditionalFormatting sqref="G10:G12">
    <cfRule type="cellIs" dxfId="17" priority="88" operator="equal">
      <formula>$H$2</formula>
    </cfRule>
    <cfRule type="cellIs" dxfId="16" priority="89" operator="equal">
      <formula>$G$2</formula>
    </cfRule>
    <cfRule type="cellIs" dxfId="15" priority="90" operator="equal">
      <formula>$F$2</formula>
    </cfRule>
    <cfRule type="cellIs" dxfId="14" priority="160" operator="equal">
      <formula>$H$2</formula>
    </cfRule>
    <cfRule type="cellIs" dxfId="13" priority="161" operator="equal">
      <formula>$G$2</formula>
    </cfRule>
    <cfRule type="cellIs" dxfId="12" priority="162" operator="equal">
      <formula>$F$2</formula>
    </cfRule>
  </conditionalFormatting>
  <dataValidations count="1">
    <dataValidation type="list" allowBlank="1" showInputMessage="1" showErrorMessage="1" sqref="G9:G30" xr:uid="{00000000-0002-0000-0500-000000000000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3"/>
  <sheetViews>
    <sheetView zoomScaleNormal="100" workbookViewId="0">
      <selection activeCell="G9" sqref="G9:G41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46"/>
      <c r="G1" s="146"/>
      <c r="H1" s="146"/>
    </row>
    <row r="2" spans="1:8">
      <c r="A2" s="25"/>
      <c r="B2" s="34" t="s">
        <v>31</v>
      </c>
      <c r="C2" s="49" t="s">
        <v>707</v>
      </c>
      <c r="F2" s="29" t="s">
        <v>32</v>
      </c>
      <c r="G2" s="30" t="s">
        <v>33</v>
      </c>
      <c r="H2" s="31" t="s">
        <v>34</v>
      </c>
    </row>
    <row r="3" spans="1:8">
      <c r="A3" s="25"/>
      <c r="B3" s="32" t="s">
        <v>116</v>
      </c>
      <c r="C3" s="33" t="str">
        <f>(표지!C6)</f>
        <v>1.4.13.43</v>
      </c>
      <c r="F3" s="32" t="str">
        <f>IF(G2&lt;&gt;"", TEXT(COUNTIF(G9:G9943, "*" &amp; F2 &amp; "*") / COUNTA(A9:A943), "0.0%"), "")</f>
        <v>0.0%</v>
      </c>
      <c r="G3" s="26" t="str">
        <f>IF(G2&lt;&gt;"", TEXT(COUNTIF(G9:G9944, "*" &amp; G2 &amp; "*") / COUNTA(A9:A9944), "0.0%"), "")</f>
        <v>0.0%</v>
      </c>
      <c r="H3" s="33" t="str">
        <f>IF(H2&lt;&gt;"", TEXT(COUNTIF(G9:G9944, "*" &amp; H2 &amp; "*") / COUNTA(A9:A9944), "0.0%"), "")</f>
        <v>0.0%</v>
      </c>
    </row>
    <row r="4" spans="1:8">
      <c r="A4" s="25"/>
      <c r="B4" s="32" t="s">
        <v>117</v>
      </c>
      <c r="C4" s="104">
        <v>46239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(표지!I14)</f>
        <v>안소희</v>
      </c>
      <c r="F5" s="150" t="str">
        <f>TEXT(COUNTA(G9:G9943) / COUNTA(A9:A9944),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 s="9" customFormat="1">
      <c r="A9" s="18">
        <v>1</v>
      </c>
      <c r="B9" s="186" t="s">
        <v>280</v>
      </c>
      <c r="C9" s="21" t="s">
        <v>271</v>
      </c>
      <c r="D9" s="14" t="s">
        <v>700</v>
      </c>
      <c r="E9" s="184" t="s">
        <v>235</v>
      </c>
      <c r="F9" s="185"/>
      <c r="G9" s="27"/>
      <c r="H9" s="23"/>
    </row>
    <row r="10" spans="1:8" s="9" customFormat="1">
      <c r="A10" s="18">
        <v>2</v>
      </c>
      <c r="B10" s="186"/>
      <c r="C10" s="175" t="s">
        <v>272</v>
      </c>
      <c r="D10" s="14" t="s">
        <v>731</v>
      </c>
      <c r="E10" s="184" t="s">
        <v>371</v>
      </c>
      <c r="F10" s="185"/>
      <c r="G10" s="112"/>
      <c r="H10" s="23"/>
    </row>
    <row r="11" spans="1:8" s="9" customFormat="1">
      <c r="A11" s="24">
        <v>3</v>
      </c>
      <c r="B11" s="186"/>
      <c r="C11" s="175"/>
      <c r="D11" s="14" t="s">
        <v>273</v>
      </c>
      <c r="E11" s="184" t="s">
        <v>372</v>
      </c>
      <c r="F11" s="185"/>
      <c r="G11" s="112"/>
      <c r="H11" s="23"/>
    </row>
    <row r="12" spans="1:8" s="9" customFormat="1">
      <c r="A12" s="24">
        <v>4</v>
      </c>
      <c r="B12" s="186"/>
      <c r="C12" s="175"/>
      <c r="D12" s="14" t="s">
        <v>270</v>
      </c>
      <c r="E12" s="184" t="s">
        <v>373</v>
      </c>
      <c r="F12" s="185"/>
      <c r="G12" s="112"/>
      <c r="H12" s="23"/>
    </row>
    <row r="13" spans="1:8" s="9" customFormat="1">
      <c r="A13" s="24">
        <v>5</v>
      </c>
      <c r="B13" s="186"/>
      <c r="C13" s="175" t="s">
        <v>274</v>
      </c>
      <c r="D13" s="14" t="s">
        <v>259</v>
      </c>
      <c r="E13" s="184" t="s">
        <v>374</v>
      </c>
      <c r="F13" s="185"/>
      <c r="G13" s="112"/>
      <c r="H13" s="23"/>
    </row>
    <row r="14" spans="1:8" s="9" customFormat="1">
      <c r="A14" s="24">
        <v>6</v>
      </c>
      <c r="B14" s="186"/>
      <c r="C14" s="175"/>
      <c r="D14" s="90" t="s">
        <v>260</v>
      </c>
      <c r="E14" s="184" t="s">
        <v>261</v>
      </c>
      <c r="F14" s="185"/>
      <c r="G14" s="112"/>
      <c r="H14" s="23"/>
    </row>
    <row r="15" spans="1:8" s="9" customFormat="1">
      <c r="A15" s="24">
        <v>7</v>
      </c>
      <c r="B15" s="186"/>
      <c r="C15" s="175"/>
      <c r="D15" s="14" t="s">
        <v>241</v>
      </c>
      <c r="E15" s="184" t="s">
        <v>375</v>
      </c>
      <c r="F15" s="185"/>
      <c r="G15" s="112"/>
      <c r="H15" s="23"/>
    </row>
    <row r="16" spans="1:8" s="9" customFormat="1">
      <c r="A16" s="24">
        <v>8</v>
      </c>
      <c r="B16" s="186"/>
      <c r="C16" s="175"/>
      <c r="D16" s="14" t="s">
        <v>242</v>
      </c>
      <c r="E16" s="184" t="s">
        <v>376</v>
      </c>
      <c r="F16" s="185"/>
      <c r="G16" s="112"/>
      <c r="H16" s="23"/>
    </row>
    <row r="17" spans="1:8" s="9" customFormat="1">
      <c r="A17" s="24">
        <v>9</v>
      </c>
      <c r="B17" s="186"/>
      <c r="C17" s="175"/>
      <c r="D17" s="78" t="s">
        <v>243</v>
      </c>
      <c r="E17" s="184" t="s">
        <v>377</v>
      </c>
      <c r="F17" s="185"/>
      <c r="G17" s="112"/>
      <c r="H17" s="23"/>
    </row>
    <row r="18" spans="1:8" s="9" customFormat="1">
      <c r="A18" s="24">
        <v>10</v>
      </c>
      <c r="B18" s="186"/>
      <c r="C18" s="175"/>
      <c r="D18" s="14" t="s">
        <v>244</v>
      </c>
      <c r="E18" s="184" t="s">
        <v>378</v>
      </c>
      <c r="F18" s="185"/>
      <c r="G18" s="112"/>
      <c r="H18" s="23"/>
    </row>
    <row r="19" spans="1:8" s="9" customFormat="1">
      <c r="A19" s="24">
        <v>11</v>
      </c>
      <c r="B19" s="186"/>
      <c r="C19" s="175"/>
      <c r="D19" s="14" t="s">
        <v>245</v>
      </c>
      <c r="E19" s="184" t="s">
        <v>762</v>
      </c>
      <c r="F19" s="185"/>
      <c r="G19" s="112"/>
      <c r="H19" s="23"/>
    </row>
    <row r="20" spans="1:8" s="9" customFormat="1">
      <c r="A20" s="24">
        <v>12</v>
      </c>
      <c r="B20" s="186"/>
      <c r="C20" s="175"/>
      <c r="D20" s="14" t="s">
        <v>246</v>
      </c>
      <c r="E20" s="184" t="s">
        <v>763</v>
      </c>
      <c r="F20" s="185"/>
      <c r="G20" s="112"/>
      <c r="H20" s="23"/>
    </row>
    <row r="21" spans="1:8" s="9" customFormat="1">
      <c r="A21" s="24">
        <v>13</v>
      </c>
      <c r="B21" s="186"/>
      <c r="C21" s="175"/>
      <c r="D21" s="14" t="s">
        <v>247</v>
      </c>
      <c r="E21" s="184" t="s">
        <v>764</v>
      </c>
      <c r="F21" s="185"/>
      <c r="G21" s="112"/>
      <c r="H21" s="23"/>
    </row>
    <row r="22" spans="1:8" s="9" customFormat="1">
      <c r="A22" s="24">
        <v>14</v>
      </c>
      <c r="B22" s="186"/>
      <c r="C22" s="175" t="s">
        <v>240</v>
      </c>
      <c r="D22" s="14" t="s">
        <v>262</v>
      </c>
      <c r="E22" s="184" t="s">
        <v>379</v>
      </c>
      <c r="F22" s="185"/>
      <c r="G22" s="112"/>
      <c r="H22" s="23"/>
    </row>
    <row r="23" spans="1:8" s="9" customFormat="1">
      <c r="A23" s="24">
        <v>15</v>
      </c>
      <c r="B23" s="186"/>
      <c r="C23" s="175"/>
      <c r="D23" s="14" t="s">
        <v>263</v>
      </c>
      <c r="E23" s="184" t="s">
        <v>264</v>
      </c>
      <c r="F23" s="185"/>
      <c r="G23" s="112"/>
      <c r="H23" s="23"/>
    </row>
    <row r="24" spans="1:8" s="9" customFormat="1">
      <c r="A24" s="24">
        <v>16</v>
      </c>
      <c r="B24" s="186"/>
      <c r="C24" s="175" t="s">
        <v>275</v>
      </c>
      <c r="D24" s="14" t="s">
        <v>230</v>
      </c>
      <c r="E24" s="184" t="s">
        <v>233</v>
      </c>
      <c r="F24" s="185"/>
      <c r="G24" s="112"/>
      <c r="H24" s="23"/>
    </row>
    <row r="25" spans="1:8" s="9" customFormat="1">
      <c r="A25" s="24">
        <v>17</v>
      </c>
      <c r="B25" s="186"/>
      <c r="C25" s="175"/>
      <c r="D25" s="14" t="s">
        <v>231</v>
      </c>
      <c r="E25" s="184" t="s">
        <v>380</v>
      </c>
      <c r="F25" s="185"/>
      <c r="G25" s="112"/>
      <c r="H25" s="84"/>
    </row>
    <row r="26" spans="1:8" s="9" customFormat="1">
      <c r="A26" s="24">
        <v>18</v>
      </c>
      <c r="B26" s="186"/>
      <c r="C26" s="175"/>
      <c r="D26" s="14" t="s">
        <v>234</v>
      </c>
      <c r="E26" s="184" t="s">
        <v>232</v>
      </c>
      <c r="F26" s="185"/>
      <c r="G26" s="112"/>
      <c r="H26" s="84"/>
    </row>
    <row r="27" spans="1:8" s="9" customFormat="1">
      <c r="A27" s="24">
        <v>19</v>
      </c>
      <c r="B27" s="186"/>
      <c r="C27" s="175" t="s">
        <v>276</v>
      </c>
      <c r="D27" s="14" t="s">
        <v>265</v>
      </c>
      <c r="E27" s="184" t="s">
        <v>381</v>
      </c>
      <c r="F27" s="185"/>
      <c r="G27" s="112"/>
      <c r="H27" s="23"/>
    </row>
    <row r="28" spans="1:8" s="9" customFormat="1">
      <c r="A28" s="24">
        <v>20</v>
      </c>
      <c r="B28" s="186"/>
      <c r="C28" s="175"/>
      <c r="D28" s="14" t="s">
        <v>266</v>
      </c>
      <c r="E28" s="184" t="s">
        <v>267</v>
      </c>
      <c r="F28" s="185"/>
      <c r="G28" s="112"/>
      <c r="H28" s="23"/>
    </row>
    <row r="29" spans="1:8" s="9" customFormat="1">
      <c r="A29" s="24">
        <v>21</v>
      </c>
      <c r="B29" s="186"/>
      <c r="C29" s="175"/>
      <c r="D29" s="14" t="s">
        <v>268</v>
      </c>
      <c r="E29" s="184" t="s">
        <v>269</v>
      </c>
      <c r="F29" s="185"/>
      <c r="G29" s="112"/>
      <c r="H29" s="23"/>
    </row>
    <row r="30" spans="1:8" s="9" customFormat="1">
      <c r="A30" s="24">
        <v>22</v>
      </c>
      <c r="B30" s="186"/>
      <c r="C30" s="175"/>
      <c r="D30" s="13" t="s">
        <v>226</v>
      </c>
      <c r="E30" s="184" t="s">
        <v>382</v>
      </c>
      <c r="F30" s="185"/>
      <c r="G30" s="112"/>
      <c r="H30" s="23"/>
    </row>
    <row r="31" spans="1:8" s="9" customFormat="1">
      <c r="A31" s="24">
        <v>23</v>
      </c>
      <c r="B31" s="186"/>
      <c r="C31" s="175"/>
      <c r="D31" s="22" t="s">
        <v>255</v>
      </c>
      <c r="E31" s="184" t="s">
        <v>383</v>
      </c>
      <c r="F31" s="185"/>
      <c r="G31" s="112"/>
      <c r="H31" s="23"/>
    </row>
    <row r="32" spans="1:8" s="9" customFormat="1">
      <c r="A32" s="24">
        <v>24</v>
      </c>
      <c r="B32" s="186"/>
      <c r="C32" s="175"/>
      <c r="D32" s="22" t="s">
        <v>256</v>
      </c>
      <c r="E32" s="184" t="s">
        <v>257</v>
      </c>
      <c r="F32" s="185"/>
      <c r="G32" s="112"/>
      <c r="H32" s="23"/>
    </row>
    <row r="33" spans="1:8">
      <c r="A33" s="24">
        <v>25</v>
      </c>
      <c r="B33" s="186"/>
      <c r="C33" s="175"/>
      <c r="D33" s="22" t="s">
        <v>258</v>
      </c>
      <c r="E33" s="184" t="s">
        <v>384</v>
      </c>
      <c r="F33" s="185"/>
      <c r="G33" s="112"/>
      <c r="H33" s="23"/>
    </row>
    <row r="34" spans="1:8">
      <c r="A34" s="24">
        <v>26</v>
      </c>
      <c r="B34" s="186"/>
      <c r="C34" s="175" t="s">
        <v>277</v>
      </c>
      <c r="D34" s="14" t="s">
        <v>227</v>
      </c>
      <c r="E34" s="184" t="s">
        <v>385</v>
      </c>
      <c r="F34" s="185"/>
      <c r="G34" s="112"/>
      <c r="H34" s="23"/>
    </row>
    <row r="35" spans="1:8">
      <c r="A35" s="24">
        <v>27</v>
      </c>
      <c r="B35" s="186"/>
      <c r="C35" s="175"/>
      <c r="D35" s="14" t="s">
        <v>229</v>
      </c>
      <c r="E35" s="184" t="s">
        <v>236</v>
      </c>
      <c r="F35" s="185"/>
      <c r="G35" s="112"/>
      <c r="H35" s="23"/>
    </row>
    <row r="36" spans="1:8">
      <c r="A36" s="24">
        <v>28</v>
      </c>
      <c r="B36" s="186"/>
      <c r="C36" s="175"/>
      <c r="D36" s="14" t="s">
        <v>228</v>
      </c>
      <c r="E36" s="184" t="s">
        <v>237</v>
      </c>
      <c r="F36" s="185"/>
      <c r="G36" s="112"/>
      <c r="H36" s="23"/>
    </row>
    <row r="37" spans="1:8">
      <c r="A37" s="24">
        <v>29</v>
      </c>
      <c r="B37" s="186"/>
      <c r="C37" s="175" t="s">
        <v>278</v>
      </c>
      <c r="D37" s="13" t="s">
        <v>248</v>
      </c>
      <c r="E37" s="184" t="s">
        <v>386</v>
      </c>
      <c r="F37" s="185"/>
      <c r="G37" s="112"/>
      <c r="H37" s="23"/>
    </row>
    <row r="38" spans="1:8">
      <c r="A38" s="24">
        <v>30</v>
      </c>
      <c r="B38" s="186"/>
      <c r="C38" s="175"/>
      <c r="D38" s="13" t="s">
        <v>249</v>
      </c>
      <c r="E38" s="184" t="s">
        <v>250</v>
      </c>
      <c r="F38" s="185"/>
      <c r="G38" s="112"/>
      <c r="H38" s="23"/>
    </row>
    <row r="39" spans="1:8">
      <c r="A39" s="24">
        <v>31</v>
      </c>
      <c r="B39" s="186"/>
      <c r="C39" s="175" t="s">
        <v>279</v>
      </c>
      <c r="D39" s="13" t="s">
        <v>251</v>
      </c>
      <c r="E39" s="184" t="s">
        <v>387</v>
      </c>
      <c r="F39" s="185"/>
      <c r="G39" s="112"/>
      <c r="H39" s="23"/>
    </row>
    <row r="40" spans="1:8">
      <c r="A40" s="24">
        <v>32</v>
      </c>
      <c r="B40" s="186"/>
      <c r="C40" s="175"/>
      <c r="D40" s="13" t="s">
        <v>252</v>
      </c>
      <c r="E40" s="184" t="s">
        <v>388</v>
      </c>
      <c r="F40" s="185"/>
      <c r="G40" s="112"/>
      <c r="H40" s="23"/>
    </row>
    <row r="41" spans="1:8">
      <c r="A41" s="24">
        <v>33</v>
      </c>
      <c r="B41" s="186"/>
      <c r="C41" s="175"/>
      <c r="D41" s="13" t="s">
        <v>253</v>
      </c>
      <c r="E41" s="184" t="s">
        <v>254</v>
      </c>
      <c r="F41" s="185"/>
      <c r="G41" s="112"/>
      <c r="H41" s="23"/>
    </row>
    <row r="56" spans="3:3">
      <c r="C56" s="20"/>
    </row>
    <row r="57" spans="3:3">
      <c r="C57" s="20"/>
    </row>
    <row r="58" spans="3:3">
      <c r="C58" s="20"/>
    </row>
    <row r="59" spans="3:3">
      <c r="C59" s="20"/>
    </row>
    <row r="60" spans="3:3">
      <c r="C60" s="20"/>
    </row>
    <row r="61" spans="3:3">
      <c r="C61" s="20"/>
    </row>
    <row r="62" spans="3:3">
      <c r="C62" s="20"/>
    </row>
    <row r="63" spans="3:3">
      <c r="C63" s="20"/>
    </row>
    <row r="64" spans="3:3">
      <c r="C64" s="20"/>
    </row>
    <row r="65" spans="3:6">
      <c r="C65" s="20"/>
    </row>
    <row r="66" spans="3:6">
      <c r="C66" s="20"/>
      <c r="D66" s="9"/>
      <c r="E66" s="9"/>
      <c r="F66" s="9"/>
    </row>
    <row r="67" spans="3:6">
      <c r="C67" s="20"/>
      <c r="D67" s="9"/>
      <c r="E67" s="9"/>
      <c r="F67" s="9"/>
    </row>
    <row r="68" spans="3:6">
      <c r="C68" s="20"/>
    </row>
    <row r="69" spans="3:6">
      <c r="C69" s="20"/>
    </row>
    <row r="70" spans="3:6">
      <c r="C70" s="20"/>
    </row>
    <row r="71" spans="3:6">
      <c r="C71" s="20"/>
    </row>
    <row r="72" spans="3:6">
      <c r="C72" s="20"/>
      <c r="D72" s="9"/>
      <c r="E72" s="9"/>
      <c r="F72" s="9"/>
    </row>
    <row r="73" spans="3:6">
      <c r="C73" s="20"/>
    </row>
    <row r="83" spans="4:4">
      <c r="D83" s="9"/>
    </row>
  </sheetData>
  <mergeCells count="52">
    <mergeCell ref="B9:B41"/>
    <mergeCell ref="C27:C33"/>
    <mergeCell ref="C34:C36"/>
    <mergeCell ref="C37:C38"/>
    <mergeCell ref="C39:C41"/>
    <mergeCell ref="C10:C12"/>
    <mergeCell ref="C13:C21"/>
    <mergeCell ref="C22:C23"/>
    <mergeCell ref="C24:C26"/>
    <mergeCell ref="F1:H1"/>
    <mergeCell ref="F4:H4"/>
    <mergeCell ref="F5:H5"/>
    <mergeCell ref="A7:A8"/>
    <mergeCell ref="B7:B8"/>
    <mergeCell ref="C7:C8"/>
    <mergeCell ref="D7:D8"/>
    <mergeCell ref="G7:G8"/>
    <mergeCell ref="H7:H8"/>
    <mergeCell ref="E7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9:F39"/>
    <mergeCell ref="E40:F40"/>
    <mergeCell ref="E41:F41"/>
    <mergeCell ref="E34:F34"/>
    <mergeCell ref="E35:F35"/>
    <mergeCell ref="E36:F36"/>
    <mergeCell ref="E37:F37"/>
    <mergeCell ref="E38:F38"/>
  </mergeCells>
  <phoneticPr fontId="2" type="noConversion"/>
  <conditionalFormatting sqref="G9:G41">
    <cfRule type="cellIs" dxfId="11" priority="1" operator="equal">
      <formula>$H$2</formula>
    </cfRule>
    <cfRule type="cellIs" dxfId="10" priority="2" operator="equal">
      <formula>$G$2</formula>
    </cfRule>
    <cfRule type="cellIs" dxfId="9" priority="3" operator="equal">
      <formula>$F$2</formula>
    </cfRule>
  </conditionalFormatting>
  <dataValidations count="1">
    <dataValidation type="list" allowBlank="1" showInputMessage="1" showErrorMessage="1" sqref="G9:G41" xr:uid="{00000000-0002-0000-0600-000000000000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"/>
  <sheetViews>
    <sheetView zoomScaleNormal="100" zoomScaleSheetLayoutView="100" workbookViewId="0">
      <selection activeCell="G9" sqref="G9:G30"/>
    </sheetView>
  </sheetViews>
  <sheetFormatPr defaultRowHeight="16.5"/>
  <cols>
    <col min="1" max="2" width="13" style="1" customWidth="1"/>
    <col min="3" max="3" width="24.875" style="1" customWidth="1"/>
    <col min="4" max="4" width="70.625" customWidth="1"/>
    <col min="5" max="8" width="25.625" customWidth="1"/>
  </cols>
  <sheetData>
    <row r="1" spans="1:8" ht="17.25" thickBot="1">
      <c r="F1" s="171"/>
      <c r="G1" s="171"/>
      <c r="H1" s="171"/>
    </row>
    <row r="2" spans="1:8">
      <c r="A2" s="2"/>
      <c r="B2" s="34" t="s">
        <v>31</v>
      </c>
      <c r="C2" s="103" t="s">
        <v>781</v>
      </c>
      <c r="F2" s="29" t="s">
        <v>32</v>
      </c>
      <c r="G2" s="30" t="s">
        <v>33</v>
      </c>
      <c r="H2" s="31" t="s">
        <v>34</v>
      </c>
    </row>
    <row r="3" spans="1:8">
      <c r="A3" s="2"/>
      <c r="B3" s="32" t="s">
        <v>116</v>
      </c>
      <c r="C3" s="33" t="str">
        <f>(표지!C6)</f>
        <v>1.4.13.43</v>
      </c>
      <c r="F3" s="32" t="str">
        <f>IF(G2&lt;&gt;"", TEXT(COUNTIF(G9:G9948, "*" &amp; F2 &amp; "*") / COUNTA(A9:A948), "0.0%"), "")</f>
        <v>0.0%</v>
      </c>
      <c r="G3" s="26" t="str">
        <f>IF(G2&lt;&gt;"", TEXT(COUNTIF(G9:G9949, "*" &amp; G2 &amp; "*") / COUNTA(A9:A9949), "0.0%"), "")</f>
        <v>0.0%</v>
      </c>
      <c r="H3" s="33" t="str">
        <f>IF(H2&lt;&gt;"", TEXT(COUNTIF(G9:G9949, "*" &amp; H2 &amp; "*") / COUNTA(A9:A9949), "0.0%"), "")</f>
        <v>0.0%</v>
      </c>
    </row>
    <row r="4" spans="1:8">
      <c r="A4" s="2"/>
      <c r="B4" s="32" t="s">
        <v>117</v>
      </c>
      <c r="C4" s="104">
        <v>46237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(표지!I15)</f>
        <v>안소희</v>
      </c>
      <c r="F5" s="150" t="str">
        <f>TEXT(COUNTA(G9:G9948) / COUNTA(A9:A9949),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>
      <c r="A9" s="7">
        <v>1</v>
      </c>
      <c r="B9" s="145" t="s">
        <v>7</v>
      </c>
      <c r="C9" s="145" t="s">
        <v>8</v>
      </c>
      <c r="D9" s="8" t="s">
        <v>9</v>
      </c>
      <c r="E9" s="164" t="s">
        <v>29</v>
      </c>
      <c r="F9" s="165"/>
      <c r="G9" s="105"/>
      <c r="H9" s="23"/>
    </row>
    <row r="10" spans="1:8">
      <c r="A10" s="7">
        <v>2</v>
      </c>
      <c r="B10" s="145"/>
      <c r="C10" s="145"/>
      <c r="D10" s="8" t="s">
        <v>10</v>
      </c>
      <c r="E10" s="164" t="s">
        <v>312</v>
      </c>
      <c r="F10" s="165"/>
      <c r="G10" s="105"/>
      <c r="H10" s="23"/>
    </row>
    <row r="11" spans="1:8">
      <c r="A11" s="101">
        <v>3</v>
      </c>
      <c r="B11" s="145"/>
      <c r="C11" s="7" t="s">
        <v>14</v>
      </c>
      <c r="D11" s="8" t="s">
        <v>15</v>
      </c>
      <c r="E11" s="164" t="s">
        <v>316</v>
      </c>
      <c r="F11" s="165"/>
      <c r="G11" s="105"/>
      <c r="H11" s="23"/>
    </row>
    <row r="12" spans="1:8">
      <c r="A12" s="101">
        <v>4</v>
      </c>
      <c r="B12" s="145" t="s">
        <v>17</v>
      </c>
      <c r="C12" s="95" t="s">
        <v>8</v>
      </c>
      <c r="D12" s="8" t="s">
        <v>18</v>
      </c>
      <c r="E12" s="164" t="s">
        <v>317</v>
      </c>
      <c r="F12" s="165"/>
      <c r="G12" s="105"/>
      <c r="H12" s="23"/>
    </row>
    <row r="13" spans="1:8">
      <c r="A13" s="101">
        <v>5</v>
      </c>
      <c r="B13" s="145"/>
      <c r="C13" s="7" t="s">
        <v>14</v>
      </c>
      <c r="D13" s="8" t="s">
        <v>15</v>
      </c>
      <c r="E13" s="164" t="s">
        <v>316</v>
      </c>
      <c r="F13" s="165"/>
      <c r="G13" s="105"/>
      <c r="H13" s="23"/>
    </row>
    <row r="14" spans="1:8">
      <c r="A14" s="101">
        <v>6</v>
      </c>
      <c r="B14" s="145" t="s">
        <v>758</v>
      </c>
      <c r="C14" s="145" t="s">
        <v>14</v>
      </c>
      <c r="D14" s="8" t="s">
        <v>19</v>
      </c>
      <c r="E14" s="164" t="s">
        <v>318</v>
      </c>
      <c r="F14" s="165"/>
      <c r="G14" s="105"/>
      <c r="H14" s="23"/>
    </row>
    <row r="15" spans="1:8">
      <c r="A15" s="101">
        <v>7</v>
      </c>
      <c r="B15" s="145"/>
      <c r="C15" s="145"/>
      <c r="D15" s="8" t="s">
        <v>20</v>
      </c>
      <c r="E15" s="164" t="s">
        <v>319</v>
      </c>
      <c r="F15" s="165"/>
      <c r="G15" s="105"/>
      <c r="H15" s="23"/>
    </row>
    <row r="16" spans="1:8">
      <c r="A16" s="101">
        <v>8</v>
      </c>
      <c r="B16" s="170" t="s">
        <v>36</v>
      </c>
      <c r="C16" s="96" t="s">
        <v>761</v>
      </c>
      <c r="D16" s="8" t="s">
        <v>11</v>
      </c>
      <c r="E16" s="164" t="s">
        <v>313</v>
      </c>
      <c r="F16" s="165"/>
      <c r="G16" s="105"/>
      <c r="H16" s="95"/>
    </row>
    <row r="17" spans="1:8">
      <c r="A17" s="101">
        <v>9</v>
      </c>
      <c r="B17" s="140"/>
      <c r="C17" s="170" t="s">
        <v>757</v>
      </c>
      <c r="D17" s="8" t="s">
        <v>12</v>
      </c>
      <c r="E17" s="164" t="s">
        <v>314</v>
      </c>
      <c r="F17" s="165"/>
      <c r="G17" s="105"/>
      <c r="H17" s="93"/>
    </row>
    <row r="18" spans="1:8">
      <c r="A18" s="101">
        <v>10</v>
      </c>
      <c r="B18" s="140"/>
      <c r="C18" s="141"/>
      <c r="D18" s="8" t="s">
        <v>13</v>
      </c>
      <c r="E18" s="164" t="s">
        <v>315</v>
      </c>
      <c r="F18" s="165"/>
      <c r="G18" s="105"/>
      <c r="H18" s="93"/>
    </row>
    <row r="19" spans="1:8">
      <c r="A19" s="101">
        <v>11</v>
      </c>
      <c r="B19" s="140"/>
      <c r="C19" s="91" t="s">
        <v>744</v>
      </c>
      <c r="D19" s="8" t="s">
        <v>745</v>
      </c>
      <c r="E19" s="164" t="s">
        <v>746</v>
      </c>
      <c r="F19" s="165"/>
      <c r="G19" s="105"/>
      <c r="H19" s="86"/>
    </row>
    <row r="20" spans="1:8">
      <c r="A20" s="101">
        <v>12</v>
      </c>
      <c r="B20" s="140"/>
      <c r="C20" s="91" t="s">
        <v>30</v>
      </c>
      <c r="D20" s="8" t="s">
        <v>16</v>
      </c>
      <c r="E20" s="164" t="s">
        <v>320</v>
      </c>
      <c r="F20" s="165"/>
      <c r="G20" s="106"/>
      <c r="H20" s="23"/>
    </row>
    <row r="21" spans="1:8">
      <c r="A21" s="101">
        <v>13</v>
      </c>
      <c r="B21" s="140"/>
      <c r="C21" s="91" t="s">
        <v>21</v>
      </c>
      <c r="D21" s="8" t="s">
        <v>23</v>
      </c>
      <c r="E21" s="164" t="s">
        <v>321</v>
      </c>
      <c r="F21" s="165"/>
      <c r="G21" s="105"/>
      <c r="H21" s="23"/>
    </row>
    <row r="22" spans="1:8">
      <c r="A22" s="101">
        <v>14</v>
      </c>
      <c r="B22" s="140"/>
      <c r="C22" s="91" t="s">
        <v>28</v>
      </c>
      <c r="D22" s="8" t="s">
        <v>27</v>
      </c>
      <c r="E22" s="164" t="s">
        <v>324</v>
      </c>
      <c r="F22" s="165"/>
      <c r="G22" s="105"/>
      <c r="H22" s="99"/>
    </row>
    <row r="23" spans="1:8">
      <c r="A23" s="101">
        <v>15</v>
      </c>
      <c r="B23" s="140"/>
      <c r="C23" s="145" t="s">
        <v>750</v>
      </c>
      <c r="D23" s="8" t="s">
        <v>748</v>
      </c>
      <c r="E23" s="164" t="s">
        <v>751</v>
      </c>
      <c r="F23" s="165"/>
      <c r="G23" s="105"/>
      <c r="H23" s="99"/>
    </row>
    <row r="24" spans="1:8">
      <c r="A24" s="101">
        <v>16</v>
      </c>
      <c r="B24" s="141"/>
      <c r="C24" s="145"/>
      <c r="D24" s="8" t="s">
        <v>749</v>
      </c>
      <c r="E24" s="164" t="s">
        <v>752</v>
      </c>
      <c r="F24" s="165"/>
      <c r="G24" s="105"/>
      <c r="H24" s="99"/>
    </row>
    <row r="25" spans="1:8">
      <c r="A25" s="101">
        <v>17</v>
      </c>
      <c r="B25" s="145" t="s">
        <v>280</v>
      </c>
      <c r="C25" s="99" t="s">
        <v>22</v>
      </c>
      <c r="D25" s="8" t="s">
        <v>24</v>
      </c>
      <c r="E25" s="164" t="s">
        <v>322</v>
      </c>
      <c r="F25" s="165"/>
      <c r="G25" s="105"/>
      <c r="H25" s="99"/>
    </row>
    <row r="26" spans="1:8">
      <c r="A26" s="101">
        <v>18</v>
      </c>
      <c r="B26" s="145"/>
      <c r="C26" s="99" t="s">
        <v>26</v>
      </c>
      <c r="D26" s="8" t="s">
        <v>25</v>
      </c>
      <c r="E26" s="164" t="s">
        <v>323</v>
      </c>
      <c r="F26" s="165"/>
      <c r="G26" s="105"/>
      <c r="H26" s="99"/>
    </row>
    <row r="27" spans="1:8">
      <c r="A27" s="101">
        <v>19</v>
      </c>
      <c r="B27" s="145"/>
      <c r="C27" s="145" t="s">
        <v>775</v>
      </c>
      <c r="D27" s="8" t="s">
        <v>769</v>
      </c>
      <c r="E27" s="164" t="s">
        <v>773</v>
      </c>
      <c r="F27" s="165"/>
      <c r="G27" s="105"/>
      <c r="H27" s="99"/>
    </row>
    <row r="28" spans="1:8">
      <c r="A28" s="101">
        <v>20</v>
      </c>
      <c r="B28" s="145"/>
      <c r="C28" s="145"/>
      <c r="D28" s="8" t="s">
        <v>770</v>
      </c>
      <c r="E28" s="164" t="s">
        <v>774</v>
      </c>
      <c r="F28" s="165"/>
      <c r="G28" s="105"/>
      <c r="H28" s="99"/>
    </row>
    <row r="29" spans="1:8">
      <c r="A29" s="101">
        <v>21</v>
      </c>
      <c r="B29" s="145"/>
      <c r="C29" s="145"/>
      <c r="D29" s="8" t="s">
        <v>771</v>
      </c>
      <c r="E29" s="164" t="s">
        <v>773</v>
      </c>
      <c r="F29" s="165"/>
      <c r="G29" s="105"/>
      <c r="H29" s="99"/>
    </row>
    <row r="30" spans="1:8">
      <c r="A30" s="101">
        <v>22</v>
      </c>
      <c r="B30" s="145"/>
      <c r="C30" s="145"/>
      <c r="D30" s="8" t="s">
        <v>772</v>
      </c>
      <c r="E30" s="164" t="s">
        <v>774</v>
      </c>
      <c r="F30" s="165"/>
      <c r="G30" s="105"/>
      <c r="H30" s="99"/>
    </row>
  </sheetData>
  <mergeCells count="42">
    <mergeCell ref="C27:C30"/>
    <mergeCell ref="B25:B30"/>
    <mergeCell ref="E27:F27"/>
    <mergeCell ref="E28:F28"/>
    <mergeCell ref="E29:F29"/>
    <mergeCell ref="E30:F30"/>
    <mergeCell ref="F4:H4"/>
    <mergeCell ref="F5:H5"/>
    <mergeCell ref="F1:H1"/>
    <mergeCell ref="E13:F13"/>
    <mergeCell ref="G7:G8"/>
    <mergeCell ref="H7:H8"/>
    <mergeCell ref="C9:C10"/>
    <mergeCell ref="B9:B11"/>
    <mergeCell ref="B12:B13"/>
    <mergeCell ref="E9:F9"/>
    <mergeCell ref="E10:F10"/>
    <mergeCell ref="E11:F11"/>
    <mergeCell ref="E12:F12"/>
    <mergeCell ref="A7:A8"/>
    <mergeCell ref="B7:B8"/>
    <mergeCell ref="C7:C8"/>
    <mergeCell ref="D7:D8"/>
    <mergeCell ref="E7:F8"/>
    <mergeCell ref="E23:F23"/>
    <mergeCell ref="E24:F24"/>
    <mergeCell ref="E26:F26"/>
    <mergeCell ref="E22:F22"/>
    <mergeCell ref="E14:F14"/>
    <mergeCell ref="E15:F15"/>
    <mergeCell ref="E20:F20"/>
    <mergeCell ref="E21:F21"/>
    <mergeCell ref="E25:F25"/>
    <mergeCell ref="E19:F19"/>
    <mergeCell ref="E18:F18"/>
    <mergeCell ref="E17:F17"/>
    <mergeCell ref="E16:F16"/>
    <mergeCell ref="C17:C18"/>
    <mergeCell ref="C14:C15"/>
    <mergeCell ref="B14:B15"/>
    <mergeCell ref="C23:C24"/>
    <mergeCell ref="B16:B24"/>
  </mergeCells>
  <phoneticPr fontId="2" type="noConversion"/>
  <conditionalFormatting sqref="G9:G30">
    <cfRule type="cellIs" dxfId="8" priority="1" operator="equal">
      <formula>$F$2</formula>
    </cfRule>
    <cfRule type="cellIs" dxfId="7" priority="2" operator="equal">
      <formula>$H$2</formula>
    </cfRule>
    <cfRule type="cellIs" dxfId="6" priority="3" operator="equal">
      <formula>$G$2</formula>
    </cfRule>
  </conditionalFormatting>
  <dataValidations count="1">
    <dataValidation type="list" allowBlank="1" showInputMessage="1" showErrorMessage="1" sqref="G9:G30" xr:uid="{FD6A5A2C-E9AD-4C71-8B9A-B97FC359E1F8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6"/>
  <sheetViews>
    <sheetView zoomScaleNormal="100" workbookViewId="0">
      <selection activeCell="H31" sqref="H31"/>
    </sheetView>
  </sheetViews>
  <sheetFormatPr defaultRowHeight="16.5"/>
  <cols>
    <col min="1" max="2" width="13" style="4" customWidth="1"/>
    <col min="3" max="3" width="24.875" style="4" customWidth="1"/>
    <col min="4" max="4" width="70.625" customWidth="1"/>
    <col min="5" max="8" width="25.625" customWidth="1"/>
  </cols>
  <sheetData>
    <row r="1" spans="1:8" ht="17.25" thickBot="1">
      <c r="F1" s="146"/>
      <c r="G1" s="146"/>
      <c r="H1" s="146"/>
    </row>
    <row r="2" spans="1:8">
      <c r="A2" s="25"/>
      <c r="B2" s="34" t="s">
        <v>31</v>
      </c>
      <c r="C2" s="103" t="s">
        <v>781</v>
      </c>
      <c r="F2" s="29" t="s">
        <v>32</v>
      </c>
      <c r="G2" s="30" t="s">
        <v>33</v>
      </c>
      <c r="H2" s="31" t="s">
        <v>34</v>
      </c>
    </row>
    <row r="3" spans="1:8">
      <c r="A3" s="25"/>
      <c r="B3" s="32" t="s">
        <v>116</v>
      </c>
      <c r="C3" s="33" t="str">
        <f>(표지!C6)</f>
        <v>1.4.13.43</v>
      </c>
      <c r="F3" s="32" t="str">
        <f>IF(G2&lt;&gt;"", TEXT(COUNTIF(G9:G9938, "*" &amp; F2 &amp; "*") / COUNTA(A9:A938), "0.0%"), "")</f>
        <v>0.0%</v>
      </c>
      <c r="G3" s="26" t="str">
        <f>IF(G2&lt;&gt;"", TEXT(COUNTIF(G9:G9939, "*" &amp; G2 &amp; "*") / COUNTA(A9:A9939), "0.0%"), "")</f>
        <v>0.0%</v>
      </c>
      <c r="H3" s="33" t="str">
        <f>IF(H2&lt;&gt;"", TEXT(COUNTIF(G9:G9939, "*" &amp; H2 &amp; "*") / COUNTA(A9:A9939), "0.0%"), "")</f>
        <v>0.0%</v>
      </c>
    </row>
    <row r="4" spans="1:8">
      <c r="A4" s="25"/>
      <c r="B4" s="32" t="s">
        <v>117</v>
      </c>
      <c r="C4" s="104">
        <v>46238</v>
      </c>
      <c r="F4" s="147" t="s">
        <v>35</v>
      </c>
      <c r="G4" s="148"/>
      <c r="H4" s="149"/>
    </row>
    <row r="5" spans="1:8" ht="17.25" thickBot="1">
      <c r="B5" s="36" t="s">
        <v>76</v>
      </c>
      <c r="C5" s="37" t="str">
        <f>(표지!I16)</f>
        <v>안소희</v>
      </c>
      <c r="F5" s="150" t="str">
        <f>TEXT(COUNTA(G9:G9938) / COUNTA(A9:A9939), "0.0%")</f>
        <v>0.0%</v>
      </c>
      <c r="G5" s="151"/>
      <c r="H5" s="152"/>
    </row>
    <row r="7" spans="1:8">
      <c r="A7" s="153" t="s">
        <v>0</v>
      </c>
      <c r="B7" s="155" t="s">
        <v>1</v>
      </c>
      <c r="C7" s="155" t="s">
        <v>2</v>
      </c>
      <c r="D7" s="156" t="s">
        <v>3</v>
      </c>
      <c r="E7" s="158" t="s">
        <v>4</v>
      </c>
      <c r="F7" s="159"/>
      <c r="G7" s="162" t="s">
        <v>5</v>
      </c>
      <c r="H7" s="156" t="s">
        <v>6</v>
      </c>
    </row>
    <row r="8" spans="1:8">
      <c r="A8" s="154"/>
      <c r="B8" s="154"/>
      <c r="C8" s="154"/>
      <c r="D8" s="157"/>
      <c r="E8" s="160"/>
      <c r="F8" s="161"/>
      <c r="G8" s="163"/>
      <c r="H8" s="154"/>
    </row>
    <row r="9" spans="1:8" s="9" customFormat="1" ht="16.5" customHeight="1">
      <c r="A9" s="19">
        <v>1</v>
      </c>
      <c r="B9" s="191" t="s">
        <v>217</v>
      </c>
      <c r="C9" s="190" t="s">
        <v>213</v>
      </c>
      <c r="D9" s="13" t="s">
        <v>195</v>
      </c>
      <c r="E9" s="172" t="s">
        <v>194</v>
      </c>
      <c r="F9" s="173"/>
      <c r="G9" s="105"/>
      <c r="H9" s="23"/>
    </row>
    <row r="10" spans="1:8" s="9" customFormat="1">
      <c r="A10" s="19">
        <v>2</v>
      </c>
      <c r="B10" s="192"/>
      <c r="C10" s="177"/>
      <c r="D10" s="13" t="s">
        <v>198</v>
      </c>
      <c r="E10" s="172" t="s">
        <v>389</v>
      </c>
      <c r="F10" s="173"/>
      <c r="G10" s="105"/>
      <c r="H10" s="23"/>
    </row>
    <row r="11" spans="1:8" s="9" customFormat="1">
      <c r="A11" s="107">
        <v>3</v>
      </c>
      <c r="B11" s="192"/>
      <c r="C11" s="177"/>
      <c r="D11" s="14" t="s">
        <v>197</v>
      </c>
      <c r="E11" s="172" t="s">
        <v>199</v>
      </c>
      <c r="F11" s="173"/>
      <c r="G11" s="105"/>
      <c r="H11" s="23"/>
    </row>
    <row r="12" spans="1:8" s="9" customFormat="1">
      <c r="A12" s="107">
        <v>4</v>
      </c>
      <c r="B12" s="192"/>
      <c r="C12" s="178"/>
      <c r="D12" s="14" t="s">
        <v>196</v>
      </c>
      <c r="E12" s="172" t="s">
        <v>390</v>
      </c>
      <c r="F12" s="173"/>
      <c r="G12" s="105"/>
      <c r="H12" s="86"/>
    </row>
    <row r="13" spans="1:8" s="9" customFormat="1">
      <c r="A13" s="107">
        <v>5</v>
      </c>
      <c r="B13" s="192"/>
      <c r="C13" s="176" t="s">
        <v>214</v>
      </c>
      <c r="D13" s="13" t="s">
        <v>200</v>
      </c>
      <c r="E13" s="172" t="s">
        <v>194</v>
      </c>
      <c r="F13" s="173"/>
      <c r="G13" s="105"/>
      <c r="H13" s="23"/>
    </row>
    <row r="14" spans="1:8" s="9" customFormat="1">
      <c r="A14" s="107">
        <v>6</v>
      </c>
      <c r="B14" s="192"/>
      <c r="C14" s="177"/>
      <c r="D14" s="13" t="s">
        <v>201</v>
      </c>
      <c r="E14" s="172" t="s">
        <v>389</v>
      </c>
      <c r="F14" s="173"/>
      <c r="G14" s="105"/>
      <c r="H14" s="23"/>
    </row>
    <row r="15" spans="1:8" s="9" customFormat="1">
      <c r="A15" s="107">
        <v>7</v>
      </c>
      <c r="B15" s="192"/>
      <c r="C15" s="177"/>
      <c r="D15" s="14" t="s">
        <v>203</v>
      </c>
      <c r="E15" s="172" t="s">
        <v>199</v>
      </c>
      <c r="F15" s="173"/>
      <c r="G15" s="105"/>
      <c r="H15" s="23"/>
    </row>
    <row r="16" spans="1:8" s="9" customFormat="1">
      <c r="A16" s="107">
        <v>8</v>
      </c>
      <c r="B16" s="192"/>
      <c r="C16" s="177"/>
      <c r="D16" s="14" t="s">
        <v>202</v>
      </c>
      <c r="E16" s="172" t="s">
        <v>390</v>
      </c>
      <c r="F16" s="173"/>
      <c r="G16" s="105"/>
      <c r="H16" s="86"/>
    </row>
    <row r="17" spans="1:8" s="9" customFormat="1">
      <c r="A17" s="107">
        <v>9</v>
      </c>
      <c r="B17" s="175" t="s">
        <v>218</v>
      </c>
      <c r="C17" s="175" t="s">
        <v>215</v>
      </c>
      <c r="D17" s="14" t="s">
        <v>205</v>
      </c>
      <c r="E17" s="172" t="s">
        <v>391</v>
      </c>
      <c r="F17" s="173"/>
      <c r="G17" s="105"/>
      <c r="H17" s="23"/>
    </row>
    <row r="18" spans="1:8" s="9" customFormat="1">
      <c r="A18" s="107">
        <v>10</v>
      </c>
      <c r="B18" s="175"/>
      <c r="C18" s="175"/>
      <c r="D18" s="14" t="s">
        <v>206</v>
      </c>
      <c r="E18" s="172" t="s">
        <v>392</v>
      </c>
      <c r="F18" s="173"/>
      <c r="G18" s="105"/>
      <c r="H18" s="23"/>
    </row>
    <row r="19" spans="1:8" s="9" customFormat="1">
      <c r="A19" s="107">
        <v>11</v>
      </c>
      <c r="B19" s="175"/>
      <c r="C19" s="175"/>
      <c r="D19" s="14" t="s">
        <v>207</v>
      </c>
      <c r="E19" s="172" t="s">
        <v>221</v>
      </c>
      <c r="F19" s="173"/>
      <c r="G19" s="105"/>
      <c r="H19" s="23"/>
    </row>
    <row r="20" spans="1:8" s="9" customFormat="1">
      <c r="A20" s="107">
        <v>12</v>
      </c>
      <c r="B20" s="175"/>
      <c r="C20" s="175" t="s">
        <v>220</v>
      </c>
      <c r="D20" s="14" t="s">
        <v>739</v>
      </c>
      <c r="E20" s="172" t="s">
        <v>204</v>
      </c>
      <c r="F20" s="173"/>
      <c r="G20" s="105"/>
      <c r="H20" s="23"/>
    </row>
    <row r="21" spans="1:8" s="9" customFormat="1">
      <c r="A21" s="107">
        <v>13</v>
      </c>
      <c r="B21" s="175"/>
      <c r="C21" s="175"/>
      <c r="D21" s="14" t="s">
        <v>740</v>
      </c>
      <c r="E21" s="172" t="s">
        <v>393</v>
      </c>
      <c r="F21" s="173"/>
      <c r="G21" s="105"/>
      <c r="H21" s="23"/>
    </row>
    <row r="22" spans="1:8" s="9" customFormat="1">
      <c r="A22" s="107">
        <v>14</v>
      </c>
      <c r="B22" s="175" t="s">
        <v>219</v>
      </c>
      <c r="C22" s="175" t="s">
        <v>216</v>
      </c>
      <c r="D22" s="14" t="s">
        <v>209</v>
      </c>
      <c r="E22" s="172" t="s">
        <v>742</v>
      </c>
      <c r="F22" s="173"/>
      <c r="G22" s="105"/>
      <c r="H22" s="23"/>
    </row>
    <row r="23" spans="1:8" s="9" customFormat="1">
      <c r="A23" s="107">
        <v>15</v>
      </c>
      <c r="B23" s="175"/>
      <c r="C23" s="175"/>
      <c r="D23" s="14" t="s">
        <v>209</v>
      </c>
      <c r="E23" s="172" t="s">
        <v>211</v>
      </c>
      <c r="F23" s="173"/>
      <c r="G23" s="105"/>
      <c r="H23" s="86"/>
    </row>
    <row r="24" spans="1:8" s="9" customFormat="1">
      <c r="A24" s="107">
        <v>16</v>
      </c>
      <c r="B24" s="175"/>
      <c r="C24" s="175"/>
      <c r="D24" s="14" t="s">
        <v>208</v>
      </c>
      <c r="E24" s="172" t="s">
        <v>741</v>
      </c>
      <c r="F24" s="173"/>
      <c r="G24" s="105"/>
      <c r="H24" s="23"/>
    </row>
    <row r="25" spans="1:8" s="9" customFormat="1">
      <c r="A25" s="107">
        <v>17</v>
      </c>
      <c r="B25" s="175"/>
      <c r="C25" s="175"/>
      <c r="D25" s="14" t="s">
        <v>210</v>
      </c>
      <c r="E25" s="172" t="s">
        <v>212</v>
      </c>
      <c r="F25" s="173"/>
      <c r="G25" s="105"/>
      <c r="H25" s="23"/>
    </row>
    <row r="26" spans="1:8">
      <c r="A26" s="107">
        <v>18</v>
      </c>
      <c r="B26" s="186" t="s">
        <v>423</v>
      </c>
      <c r="C26" s="176" t="s">
        <v>411</v>
      </c>
      <c r="D26" s="14" t="s">
        <v>412</v>
      </c>
      <c r="E26" s="187" t="s">
        <v>413</v>
      </c>
      <c r="F26" s="187"/>
      <c r="G26" s="106"/>
      <c r="H26" s="86"/>
    </row>
    <row r="27" spans="1:8">
      <c r="A27" s="107">
        <v>19</v>
      </c>
      <c r="B27" s="186"/>
      <c r="C27" s="177"/>
      <c r="D27" s="78" t="s">
        <v>765</v>
      </c>
      <c r="E27" s="187" t="s">
        <v>414</v>
      </c>
      <c r="F27" s="187"/>
      <c r="G27" s="106"/>
      <c r="H27" s="86"/>
    </row>
    <row r="28" spans="1:8">
      <c r="A28" s="107">
        <v>20</v>
      </c>
      <c r="B28" s="186"/>
      <c r="C28" s="177"/>
      <c r="D28" s="22" t="s">
        <v>733</v>
      </c>
      <c r="E28" s="187" t="s">
        <v>415</v>
      </c>
      <c r="F28" s="187"/>
      <c r="G28" s="106"/>
      <c r="H28" s="86"/>
    </row>
    <row r="29" spans="1:8">
      <c r="A29" s="107">
        <v>21</v>
      </c>
      <c r="B29" s="186"/>
      <c r="C29" s="177"/>
      <c r="D29" s="22" t="s">
        <v>701</v>
      </c>
      <c r="E29" s="187" t="s">
        <v>416</v>
      </c>
      <c r="F29" s="187"/>
      <c r="G29" s="106"/>
      <c r="H29" s="86"/>
    </row>
    <row r="30" spans="1:8">
      <c r="A30" s="107">
        <v>22</v>
      </c>
      <c r="B30" s="186"/>
      <c r="C30" s="177"/>
      <c r="D30" s="14" t="s">
        <v>417</v>
      </c>
      <c r="E30" s="187" t="s">
        <v>418</v>
      </c>
      <c r="F30" s="187"/>
      <c r="G30" s="109"/>
      <c r="H30" s="86"/>
    </row>
    <row r="31" spans="1:8">
      <c r="A31" s="107">
        <v>23</v>
      </c>
      <c r="B31" s="186"/>
      <c r="C31" s="178"/>
      <c r="D31" s="110" t="s">
        <v>782</v>
      </c>
      <c r="E31" s="189" t="s">
        <v>783</v>
      </c>
      <c r="F31" s="189"/>
      <c r="G31" s="106"/>
      <c r="H31" s="106"/>
    </row>
    <row r="32" spans="1:8">
      <c r="A32" s="107">
        <v>24</v>
      </c>
      <c r="B32" s="186"/>
      <c r="C32" s="87" t="s">
        <v>422</v>
      </c>
      <c r="D32" s="14" t="s">
        <v>422</v>
      </c>
      <c r="E32" s="188" t="s">
        <v>419</v>
      </c>
      <c r="F32" s="187"/>
      <c r="G32" s="106"/>
      <c r="H32" s="86"/>
    </row>
    <row r="33" spans="1:8">
      <c r="A33" s="107">
        <v>25</v>
      </c>
      <c r="B33" s="186"/>
      <c r="C33" s="38" t="s">
        <v>420</v>
      </c>
      <c r="D33" s="14" t="s">
        <v>420</v>
      </c>
      <c r="E33" s="187" t="s">
        <v>421</v>
      </c>
      <c r="F33" s="187"/>
      <c r="G33" s="106"/>
      <c r="H33" s="86"/>
    </row>
    <row r="34" spans="1:8">
      <c r="A34" s="107">
        <v>26</v>
      </c>
      <c r="B34" s="176" t="s">
        <v>702</v>
      </c>
      <c r="C34" s="176" t="s">
        <v>703</v>
      </c>
      <c r="D34" s="14" t="s">
        <v>776</v>
      </c>
      <c r="E34" s="187" t="s">
        <v>778</v>
      </c>
      <c r="F34" s="187"/>
      <c r="G34" s="106"/>
      <c r="H34" s="86"/>
    </row>
    <row r="35" spans="1:8">
      <c r="A35" s="107">
        <v>27</v>
      </c>
      <c r="B35" s="177"/>
      <c r="C35" s="177"/>
      <c r="D35" s="14" t="s">
        <v>777</v>
      </c>
      <c r="E35" s="187" t="s">
        <v>705</v>
      </c>
      <c r="F35" s="187"/>
      <c r="G35" s="106"/>
      <c r="H35" s="100"/>
    </row>
    <row r="36" spans="1:8">
      <c r="A36" s="107">
        <v>28</v>
      </c>
      <c r="B36" s="177"/>
      <c r="C36" s="178"/>
      <c r="D36" s="14" t="s">
        <v>734</v>
      </c>
      <c r="E36" s="187" t="s">
        <v>735</v>
      </c>
      <c r="F36" s="187"/>
      <c r="G36" s="106"/>
      <c r="H36" s="86"/>
    </row>
    <row r="37" spans="1:8">
      <c r="A37" s="107">
        <v>29</v>
      </c>
      <c r="B37" s="177"/>
      <c r="C37" s="176" t="s">
        <v>704</v>
      </c>
      <c r="D37" s="14" t="s">
        <v>736</v>
      </c>
      <c r="E37" s="187" t="s">
        <v>706</v>
      </c>
      <c r="F37" s="187"/>
      <c r="G37" s="106"/>
      <c r="H37" s="86"/>
    </row>
    <row r="38" spans="1:8">
      <c r="A38" s="107">
        <v>30</v>
      </c>
      <c r="B38" s="178"/>
      <c r="C38" s="178"/>
      <c r="D38" s="14" t="s">
        <v>737</v>
      </c>
      <c r="E38" s="187" t="s">
        <v>738</v>
      </c>
      <c r="F38" s="187"/>
      <c r="G38" s="106"/>
      <c r="H38" s="86"/>
    </row>
    <row r="39" spans="1:8">
      <c r="A39" s="107">
        <v>31</v>
      </c>
      <c r="B39" s="88" t="s">
        <v>426</v>
      </c>
      <c r="C39" s="87" t="s">
        <v>424</v>
      </c>
      <c r="D39" s="14" t="s">
        <v>732</v>
      </c>
      <c r="E39" s="187" t="s">
        <v>425</v>
      </c>
      <c r="F39" s="187"/>
      <c r="G39" s="106"/>
      <c r="H39" s="86"/>
    </row>
    <row r="40" spans="1:8">
      <c r="A40" s="107">
        <v>32</v>
      </c>
      <c r="B40" s="108" t="s">
        <v>784</v>
      </c>
      <c r="C40" s="107" t="s">
        <v>785</v>
      </c>
      <c r="D40" s="14" t="s">
        <v>786</v>
      </c>
      <c r="E40" s="187" t="s">
        <v>787</v>
      </c>
      <c r="F40" s="187"/>
      <c r="G40" s="106"/>
      <c r="H40" s="106"/>
    </row>
    <row r="41" spans="1:8">
      <c r="D41" s="94"/>
    </row>
    <row r="42" spans="1:8">
      <c r="D42" s="11"/>
    </row>
    <row r="43" spans="1:8">
      <c r="D43" s="11"/>
    </row>
    <row r="44" spans="1:8">
      <c r="D44" s="11"/>
    </row>
    <row r="45" spans="1:8">
      <c r="D45" s="11"/>
    </row>
    <row r="46" spans="1:8">
      <c r="D46" s="11"/>
    </row>
    <row r="47" spans="1:8">
      <c r="D47" s="11"/>
    </row>
    <row r="48" spans="1:8">
      <c r="D48" s="11"/>
    </row>
    <row r="49" spans="4:4">
      <c r="D49" s="11"/>
    </row>
    <row r="50" spans="4:4">
      <c r="D50" s="11"/>
    </row>
    <row r="51" spans="4:4">
      <c r="D51" s="11"/>
    </row>
    <row r="52" spans="4:4">
      <c r="D52" s="11"/>
    </row>
    <row r="54" spans="4:4">
      <c r="D54" s="11"/>
    </row>
    <row r="55" spans="4:4">
      <c r="D55" s="11"/>
    </row>
    <row r="56" spans="4:4">
      <c r="D56" s="11"/>
    </row>
  </sheetData>
  <mergeCells count="55">
    <mergeCell ref="E40:F40"/>
    <mergeCell ref="F1:H1"/>
    <mergeCell ref="F4:H4"/>
    <mergeCell ref="F5:H5"/>
    <mergeCell ref="A7:A8"/>
    <mergeCell ref="B7:B8"/>
    <mergeCell ref="C7:C8"/>
    <mergeCell ref="D7:D8"/>
    <mergeCell ref="G7:G8"/>
    <mergeCell ref="H7:H8"/>
    <mergeCell ref="E7:F8"/>
    <mergeCell ref="E9:F9"/>
    <mergeCell ref="E10:F10"/>
    <mergeCell ref="E11:F11"/>
    <mergeCell ref="B9:B16"/>
    <mergeCell ref="B22:B25"/>
    <mergeCell ref="B17:B21"/>
    <mergeCell ref="C13:C16"/>
    <mergeCell ref="C17:C19"/>
    <mergeCell ref="C22:C25"/>
    <mergeCell ref="C20:C21"/>
    <mergeCell ref="C9:C12"/>
    <mergeCell ref="E15:F15"/>
    <mergeCell ref="E16:F16"/>
    <mergeCell ref="E12:F12"/>
    <mergeCell ref="E13:F13"/>
    <mergeCell ref="E14:F14"/>
    <mergeCell ref="E22:F22"/>
    <mergeCell ref="E23:F23"/>
    <mergeCell ref="E24:F24"/>
    <mergeCell ref="E25:F25"/>
    <mergeCell ref="E17:F17"/>
    <mergeCell ref="E18:F18"/>
    <mergeCell ref="E19:F19"/>
    <mergeCell ref="E20:F20"/>
    <mergeCell ref="E21:F21"/>
    <mergeCell ref="B26:B33"/>
    <mergeCell ref="E26:F26"/>
    <mergeCell ref="E27:F27"/>
    <mergeCell ref="E28:F28"/>
    <mergeCell ref="E29:F29"/>
    <mergeCell ref="E30:F30"/>
    <mergeCell ref="E32:F32"/>
    <mergeCell ref="E33:F33"/>
    <mergeCell ref="E31:F31"/>
    <mergeCell ref="C26:C31"/>
    <mergeCell ref="E39:F39"/>
    <mergeCell ref="C37:C38"/>
    <mergeCell ref="E37:F37"/>
    <mergeCell ref="E38:F38"/>
    <mergeCell ref="B34:B38"/>
    <mergeCell ref="C34:C36"/>
    <mergeCell ref="E34:F34"/>
    <mergeCell ref="E36:F36"/>
    <mergeCell ref="E35:F35"/>
  </mergeCells>
  <phoneticPr fontId="2" type="noConversion"/>
  <conditionalFormatting sqref="G9:G30">
    <cfRule type="cellIs" dxfId="5" priority="10" operator="equal">
      <formula>$H$2</formula>
    </cfRule>
    <cfRule type="cellIs" dxfId="4" priority="11" operator="equal">
      <formula>$G$2</formula>
    </cfRule>
    <cfRule type="cellIs" dxfId="3" priority="12" operator="equal">
      <formula>$F$2</formula>
    </cfRule>
  </conditionalFormatting>
  <conditionalFormatting sqref="G30:G40">
    <cfRule type="cellIs" dxfId="2" priority="1" operator="equal">
      <formula>$H$2</formula>
    </cfRule>
    <cfRule type="cellIs" dxfId="1" priority="2" operator="equal">
      <formula>$G$2</formula>
    </cfRule>
    <cfRule type="cellIs" dxfId="0" priority="3" operator="equal">
      <formula>$F$2</formula>
    </cfRule>
  </conditionalFormatting>
  <dataValidations count="1">
    <dataValidation type="list" allowBlank="1" showInputMessage="1" showErrorMessage="1" sqref="G9:G40" xr:uid="{00000000-0002-0000-0700-000000000000}">
      <formula1>$F$2:$H$2</formula1>
    </dataValidation>
  </dataValidations>
  <pageMargins left="0.7" right="0.7" top="0.75" bottom="0.75" header="0.3" footer="0.3"/>
  <pageSetup paperSize="9" scale="5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14"/>
  <sheetViews>
    <sheetView showGridLines="0" view="pageBreakPreview" zoomScale="115" zoomScaleNormal="115" zoomScaleSheetLayoutView="115" workbookViewId="0">
      <selection activeCell="F6" sqref="F6"/>
    </sheetView>
  </sheetViews>
  <sheetFormatPr defaultRowHeight="16.5"/>
  <cols>
    <col min="1" max="1" width="3.625" customWidth="1"/>
    <col min="2" max="2" width="10.625" style="4" customWidth="1"/>
    <col min="3" max="11" width="20.625" customWidth="1"/>
    <col min="12" max="12" width="3.625" customWidth="1"/>
  </cols>
  <sheetData>
    <row r="1" spans="2:11" ht="17.25" thickBot="1"/>
    <row r="2" spans="2:11">
      <c r="B2" s="207" t="s">
        <v>0</v>
      </c>
      <c r="C2" s="209" t="s">
        <v>427</v>
      </c>
      <c r="D2" s="209" t="s">
        <v>429</v>
      </c>
      <c r="E2" s="211" t="s">
        <v>428</v>
      </c>
      <c r="F2" s="209" t="s">
        <v>459</v>
      </c>
      <c r="G2" s="209" t="s">
        <v>460</v>
      </c>
      <c r="H2" s="209" t="s">
        <v>461</v>
      </c>
      <c r="I2" s="215" t="s">
        <v>462</v>
      </c>
      <c r="J2" s="213" t="s">
        <v>430</v>
      </c>
      <c r="K2" s="205" t="s">
        <v>432</v>
      </c>
    </row>
    <row r="3" spans="2:11">
      <c r="B3" s="208"/>
      <c r="C3" s="210"/>
      <c r="D3" s="210"/>
      <c r="E3" s="212"/>
      <c r="F3" s="212"/>
      <c r="G3" s="212"/>
      <c r="H3" s="212"/>
      <c r="I3" s="216"/>
      <c r="J3" s="214"/>
      <c r="K3" s="206"/>
    </row>
    <row r="4" spans="2:11">
      <c r="B4" s="39">
        <v>1</v>
      </c>
      <c r="C4" s="40" t="s">
        <v>293</v>
      </c>
      <c r="D4" s="40" t="str">
        <f ca="1">INDIRECT("'"&amp;C4&amp;"'!C5")</f>
        <v>정충영</v>
      </c>
      <c r="E4" s="41">
        <f ca="1">COUNT(INDIRECT("'"&amp;C4&amp;"'!A9:A9957"))</f>
        <v>49</v>
      </c>
      <c r="F4" s="41">
        <f t="shared" ref="F4:F12" ca="1" si="0">COUNTIF(INDIRECT("'"&amp;C4&amp;"'!G9:G9956"), INDIRECT("'"&amp;C4&amp;"'!F2"))</f>
        <v>0</v>
      </c>
      <c r="G4" s="41">
        <f t="shared" ref="G4:G12" ca="1" si="1">COUNTIF(INDIRECT("'"&amp;C4&amp;"'!G9:G9956"), INDIRECT("'"&amp;C4&amp;"'!G2"))</f>
        <v>0</v>
      </c>
      <c r="H4" s="41">
        <f t="shared" ref="H4:H12" ca="1" si="2">COUNTIF(INDIRECT("'"&amp;C4&amp;"'!G9:G9956"), INDIRECT("'"&amp;C4&amp;"'!H2"))</f>
        <v>3</v>
      </c>
      <c r="I4" s="51" t="str">
        <f ca="1">INDIRECT("'"&amp;C4&amp;"'!F5")</f>
        <v>6.1%</v>
      </c>
      <c r="J4" s="57">
        <f t="shared" ref="J4:J12" ca="1" si="3">(F4/E4)</f>
        <v>0</v>
      </c>
      <c r="K4" s="42"/>
    </row>
    <row r="5" spans="2:11">
      <c r="B5" s="39">
        <v>2</v>
      </c>
      <c r="C5" s="40" t="s">
        <v>311</v>
      </c>
      <c r="D5" s="40" t="str">
        <f t="shared" ref="D5:D12" ca="1" si="4">INDIRECT("'"&amp;C5&amp;"'!C5")</f>
        <v>정충영</v>
      </c>
      <c r="E5" s="41">
        <f t="shared" ref="E5:E12" ca="1" si="5">COUNT(INDIRECT("'"&amp;C5&amp;"'!A9:A9957"))</f>
        <v>57</v>
      </c>
      <c r="F5" s="41">
        <f t="shared" ca="1" si="0"/>
        <v>0</v>
      </c>
      <c r="G5" s="41">
        <f t="shared" ca="1" si="1"/>
        <v>0</v>
      </c>
      <c r="H5" s="41">
        <f t="shared" ca="1" si="2"/>
        <v>3</v>
      </c>
      <c r="I5" s="51" t="str">
        <f t="shared" ref="I5:I12" ca="1" si="6">INDIRECT("'"&amp;C5&amp;"'!F5")</f>
        <v>5.3%</v>
      </c>
      <c r="J5" s="57">
        <f t="shared" ca="1" si="3"/>
        <v>0</v>
      </c>
      <c r="K5" s="42"/>
    </row>
    <row r="6" spans="2:11">
      <c r="B6" s="39">
        <v>3</v>
      </c>
      <c r="C6" s="40" t="s">
        <v>75</v>
      </c>
      <c r="D6" s="40" t="str">
        <f t="shared" ca="1" si="4"/>
        <v>김현상</v>
      </c>
      <c r="E6" s="41">
        <f t="shared" ca="1" si="5"/>
        <v>45</v>
      </c>
      <c r="F6" s="41">
        <f t="shared" ca="1" si="0"/>
        <v>0</v>
      </c>
      <c r="G6" s="41">
        <f t="shared" ca="1" si="1"/>
        <v>0</v>
      </c>
      <c r="H6" s="41">
        <f t="shared" ca="1" si="2"/>
        <v>0</v>
      </c>
      <c r="I6" s="51" t="str">
        <f t="shared" ca="1" si="6"/>
        <v>0.0%</v>
      </c>
      <c r="J6" s="57">
        <f t="shared" ca="1" si="3"/>
        <v>0</v>
      </c>
      <c r="K6" s="42"/>
    </row>
    <row r="7" spans="2:11">
      <c r="B7" s="39">
        <v>4</v>
      </c>
      <c r="C7" s="40" t="s">
        <v>162</v>
      </c>
      <c r="D7" s="40" t="str">
        <f t="shared" ca="1" si="4"/>
        <v>김현상</v>
      </c>
      <c r="E7" s="41">
        <f t="shared" ca="1" si="5"/>
        <v>52</v>
      </c>
      <c r="F7" s="41">
        <f t="shared" ca="1" si="0"/>
        <v>0</v>
      </c>
      <c r="G7" s="41">
        <f t="shared" ca="1" si="1"/>
        <v>0</v>
      </c>
      <c r="H7" s="41">
        <f t="shared" ca="1" si="2"/>
        <v>0</v>
      </c>
      <c r="I7" s="51" t="str">
        <f t="shared" ca="1" si="6"/>
        <v>0.0%</v>
      </c>
      <c r="J7" s="57">
        <f t="shared" ca="1" si="3"/>
        <v>0</v>
      </c>
      <c r="K7" s="42"/>
    </row>
    <row r="8" spans="2:11">
      <c r="B8" s="39">
        <v>5</v>
      </c>
      <c r="C8" s="40" t="s">
        <v>163</v>
      </c>
      <c r="D8" s="40" t="str">
        <f t="shared" ca="1" si="4"/>
        <v>김현상</v>
      </c>
      <c r="E8" s="41">
        <f t="shared" ca="1" si="5"/>
        <v>32</v>
      </c>
      <c r="F8" s="41">
        <f t="shared" ca="1" si="0"/>
        <v>0</v>
      </c>
      <c r="G8" s="41">
        <f t="shared" ca="1" si="1"/>
        <v>0</v>
      </c>
      <c r="H8" s="41">
        <f t="shared" ca="1" si="2"/>
        <v>0</v>
      </c>
      <c r="I8" s="51" t="str">
        <f t="shared" ca="1" si="6"/>
        <v>0.0%</v>
      </c>
      <c r="J8" s="57">
        <f t="shared" ca="1" si="3"/>
        <v>0</v>
      </c>
      <c r="K8" s="42"/>
    </row>
    <row r="9" spans="2:11">
      <c r="B9" s="39">
        <v>6</v>
      </c>
      <c r="C9" s="40" t="s">
        <v>431</v>
      </c>
      <c r="D9" s="40" t="str">
        <f t="shared" ca="1" si="4"/>
        <v>김현상</v>
      </c>
      <c r="E9" s="41">
        <f t="shared" ca="1" si="5"/>
        <v>22</v>
      </c>
      <c r="F9" s="41">
        <f t="shared" ca="1" si="0"/>
        <v>0</v>
      </c>
      <c r="G9" s="41">
        <f t="shared" ca="1" si="1"/>
        <v>0</v>
      </c>
      <c r="H9" s="41">
        <f t="shared" ca="1" si="2"/>
        <v>0</v>
      </c>
      <c r="I9" s="51" t="str">
        <f t="shared" ca="1" si="6"/>
        <v>0.0%</v>
      </c>
      <c r="J9" s="57">
        <f t="shared" ca="1" si="3"/>
        <v>0</v>
      </c>
      <c r="K9" s="42"/>
    </row>
    <row r="10" spans="2:11">
      <c r="B10" s="39">
        <v>7</v>
      </c>
      <c r="C10" s="40" t="s">
        <v>280</v>
      </c>
      <c r="D10" s="40" t="str">
        <f t="shared" ca="1" si="4"/>
        <v>안소희</v>
      </c>
      <c r="E10" s="41">
        <f t="shared" ca="1" si="5"/>
        <v>33</v>
      </c>
      <c r="F10" s="41">
        <f t="shared" ca="1" si="0"/>
        <v>0</v>
      </c>
      <c r="G10" s="41">
        <f t="shared" ca="1" si="1"/>
        <v>0</v>
      </c>
      <c r="H10" s="41">
        <f t="shared" ca="1" si="2"/>
        <v>0</v>
      </c>
      <c r="I10" s="51" t="str">
        <f t="shared" ca="1" si="6"/>
        <v>0.0%</v>
      </c>
      <c r="J10" s="57">
        <f t="shared" ca="1" si="3"/>
        <v>0</v>
      </c>
      <c r="K10" s="42"/>
    </row>
    <row r="11" spans="2:11">
      <c r="B11" s="39">
        <v>8</v>
      </c>
      <c r="C11" s="40" t="s">
        <v>436</v>
      </c>
      <c r="D11" s="40" t="str">
        <f t="shared" ca="1" si="4"/>
        <v>안소희</v>
      </c>
      <c r="E11" s="41">
        <f t="shared" ca="1" si="5"/>
        <v>22</v>
      </c>
      <c r="F11" s="41">
        <f t="shared" ca="1" si="0"/>
        <v>0</v>
      </c>
      <c r="G11" s="41">
        <f t="shared" ca="1" si="1"/>
        <v>0</v>
      </c>
      <c r="H11" s="41">
        <f t="shared" ca="1" si="2"/>
        <v>0</v>
      </c>
      <c r="I11" s="51" t="str">
        <f t="shared" ca="1" si="6"/>
        <v>0.0%</v>
      </c>
      <c r="J11" s="57">
        <f t="shared" ca="1" si="3"/>
        <v>0</v>
      </c>
      <c r="K11" s="42"/>
    </row>
    <row r="12" spans="2:11" ht="17.25" thickBot="1">
      <c r="B12" s="39">
        <v>9</v>
      </c>
      <c r="C12" s="40" t="s">
        <v>743</v>
      </c>
      <c r="D12" s="40" t="str">
        <f t="shared" ca="1" si="4"/>
        <v>안소희</v>
      </c>
      <c r="E12" s="41">
        <f t="shared" ca="1" si="5"/>
        <v>32</v>
      </c>
      <c r="F12" s="41">
        <f t="shared" ca="1" si="0"/>
        <v>0</v>
      </c>
      <c r="G12" s="41">
        <f t="shared" ca="1" si="1"/>
        <v>0</v>
      </c>
      <c r="H12" s="41">
        <f t="shared" ca="1" si="2"/>
        <v>0</v>
      </c>
      <c r="I12" s="51" t="str">
        <f t="shared" ca="1" si="6"/>
        <v>0.0%</v>
      </c>
      <c r="J12" s="57">
        <f t="shared" ca="1" si="3"/>
        <v>0</v>
      </c>
      <c r="K12" s="42"/>
    </row>
    <row r="13" spans="2:11">
      <c r="B13" s="199" t="s">
        <v>449</v>
      </c>
      <c r="C13" s="200"/>
      <c r="D13" s="200"/>
      <c r="E13" s="193">
        <f ca="1">SUM(E4:E12)</f>
        <v>344</v>
      </c>
      <c r="F13" s="52">
        <f ca="1">SUM(F4:F12)</f>
        <v>0</v>
      </c>
      <c r="G13" s="43">
        <f ca="1">SUM(G4:G12)</f>
        <v>0</v>
      </c>
      <c r="H13" s="43">
        <f ca="1">SUM(H4:H12)</f>
        <v>6</v>
      </c>
      <c r="I13" s="203">
        <f ca="1">((F13+G13+H13)/E13)</f>
        <v>1.7441860465116279E-2</v>
      </c>
      <c r="J13" s="195">
        <f ca="1">(F13)/E13</f>
        <v>0</v>
      </c>
      <c r="K13" s="197"/>
    </row>
    <row r="14" spans="2:11" ht="17.25" thickBot="1">
      <c r="B14" s="201"/>
      <c r="C14" s="202"/>
      <c r="D14" s="202"/>
      <c r="E14" s="194"/>
      <c r="F14" s="58">
        <f ca="1">(F13/E13)</f>
        <v>0</v>
      </c>
      <c r="G14" s="50">
        <f ca="1">(G13/E13)</f>
        <v>0</v>
      </c>
      <c r="H14" s="50">
        <f ca="1">(H13/E13)</f>
        <v>1.7441860465116279E-2</v>
      </c>
      <c r="I14" s="204"/>
      <c r="J14" s="196"/>
      <c r="K14" s="198"/>
    </row>
  </sheetData>
  <mergeCells count="15">
    <mergeCell ref="K2:K3"/>
    <mergeCell ref="B2:B3"/>
    <mergeCell ref="C2:C3"/>
    <mergeCell ref="D2:D3"/>
    <mergeCell ref="E2:E3"/>
    <mergeCell ref="H2:H3"/>
    <mergeCell ref="J2:J3"/>
    <mergeCell ref="F2:F3"/>
    <mergeCell ref="G2:G3"/>
    <mergeCell ref="I2:I3"/>
    <mergeCell ref="E13:E14"/>
    <mergeCell ref="J13:J14"/>
    <mergeCell ref="K13:K14"/>
    <mergeCell ref="B13:D14"/>
    <mergeCell ref="I13:I14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E16"/>
  <sheetViews>
    <sheetView showGridLines="0" zoomScale="115" zoomScaleNormal="115" zoomScaleSheetLayoutView="115" workbookViewId="0">
      <selection activeCell="D22" sqref="D22"/>
    </sheetView>
  </sheetViews>
  <sheetFormatPr defaultRowHeight="16.5"/>
  <cols>
    <col min="2" max="2" width="9" customWidth="1"/>
    <col min="3" max="3" width="35.375" bestFit="1" customWidth="1"/>
    <col min="4" max="4" width="69.5" bestFit="1" customWidth="1"/>
  </cols>
  <sheetData>
    <row r="3" spans="2:5">
      <c r="B3" t="s">
        <v>476</v>
      </c>
    </row>
    <row r="4" spans="2:5">
      <c r="B4" t="s">
        <v>474</v>
      </c>
    </row>
    <row r="5" spans="2:5">
      <c r="B5" s="59" t="s">
        <v>477</v>
      </c>
    </row>
    <row r="7" spans="2:5">
      <c r="B7" s="60" t="s">
        <v>466</v>
      </c>
      <c r="C7" s="61"/>
      <c r="D7" s="62"/>
      <c r="E7" s="62"/>
    </row>
    <row r="8" spans="2:5">
      <c r="B8" s="60"/>
      <c r="C8" s="61"/>
      <c r="D8" s="62"/>
      <c r="E8" s="62"/>
    </row>
    <row r="9" spans="2:5">
      <c r="B9" s="63" t="s">
        <v>452</v>
      </c>
      <c r="C9" s="63" t="s">
        <v>464</v>
      </c>
      <c r="D9" s="63" t="s">
        <v>465</v>
      </c>
      <c r="E9" s="62"/>
    </row>
    <row r="10" spans="2:5">
      <c r="B10" s="53">
        <v>1</v>
      </c>
      <c r="C10" s="53" t="s">
        <v>467</v>
      </c>
      <c r="D10" s="55" t="s">
        <v>469</v>
      </c>
      <c r="E10" s="62"/>
    </row>
    <row r="11" spans="2:5" ht="49.5">
      <c r="B11" s="53">
        <v>2</v>
      </c>
      <c r="C11" s="54" t="s">
        <v>468</v>
      </c>
      <c r="D11" s="56" t="s">
        <v>753</v>
      </c>
      <c r="E11" s="62"/>
    </row>
    <row r="12" spans="2:5">
      <c r="B12" s="53">
        <v>3</v>
      </c>
      <c r="C12" s="82" t="s">
        <v>470</v>
      </c>
      <c r="D12" s="83" t="s">
        <v>471</v>
      </c>
      <c r="E12" s="62"/>
    </row>
    <row r="13" spans="2:5">
      <c r="B13" s="53">
        <v>4</v>
      </c>
      <c r="C13" s="82" t="s">
        <v>694</v>
      </c>
      <c r="D13" s="83" t="s">
        <v>473</v>
      </c>
      <c r="E13" s="62"/>
    </row>
    <row r="14" spans="2:5">
      <c r="B14" s="53">
        <v>5</v>
      </c>
      <c r="C14" s="87" t="s">
        <v>747</v>
      </c>
      <c r="D14" s="89" t="s">
        <v>472</v>
      </c>
      <c r="E14" s="62"/>
    </row>
    <row r="15" spans="2:5">
      <c r="B15" s="53">
        <v>6</v>
      </c>
      <c r="C15" s="87" t="s">
        <v>436</v>
      </c>
      <c r="D15" s="89" t="s">
        <v>754</v>
      </c>
      <c r="E15" s="62"/>
    </row>
    <row r="16" spans="2:5">
      <c r="B16" s="62"/>
      <c r="C16" s="62"/>
      <c r="D16" s="62"/>
      <c r="E16" s="62"/>
    </row>
  </sheetData>
  <phoneticPr fontId="2" type="noConversion"/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표지</vt:lpstr>
      <vt:lpstr>TOP-VIEW</vt:lpstr>
      <vt:lpstr>PLC</vt:lpstr>
      <vt:lpstr>경보</vt:lpstr>
      <vt:lpstr>로그</vt:lpstr>
      <vt:lpstr>레시피</vt:lpstr>
      <vt:lpstr>문자열, 다국어</vt:lpstr>
      <vt:lpstr>보안</vt:lpstr>
      <vt:lpstr>전송</vt:lpstr>
      <vt:lpstr>VNC, FTP, 기타</vt:lpstr>
      <vt:lpstr>테스트 결과</vt:lpstr>
      <vt:lpstr>작성 가이드</vt:lpstr>
      <vt:lpstr>'작성 가이드'!Print_Area</vt:lpstr>
      <vt:lpstr>'테스트 결과'!Print_Area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2025-10-13T06:25:42Z</cp:lastPrinted>
  <dcterms:created xsi:type="dcterms:W3CDTF">2025-07-09T05:24:26Z</dcterms:created>
  <dcterms:modified xsi:type="dcterms:W3CDTF">2026-08-26T00:56:24Z</dcterms:modified>
</cp:coreProperties>
</file>